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aporg-my.sharepoint.com/personal/omohsen_hap_com_eg/Documents/Desktop/"/>
    </mc:Choice>
  </mc:AlternateContent>
  <xr:revisionPtr revIDLastSave="0" documentId="8_{8D1C1CF8-ED69-48D2-B670-748F86594F29}" xr6:coauthVersionLast="47" xr6:coauthVersionMax="47" xr10:uidLastSave="{00000000-0000-0000-0000-000000000000}"/>
  <bookViews>
    <workbookView xWindow="-108" yWindow="-108" windowWidth="23256" windowHeight="12456" tabRatio="760" firstSheet="11" activeTab="13" xr2:uid="{00000000-000D-0000-FFFF-FFFF00000000}"/>
  </bookViews>
  <sheets>
    <sheet name="Park Central" sheetId="34" r:id="rId1"/>
    <sheet name="SLN" sheetId="25" state="hidden" r:id="rId2"/>
    <sheet name="SEASONS" sheetId="19" state="hidden" r:id="rId3"/>
    <sheet name="The Giselle" sheetId="15" state="hidden" r:id="rId4"/>
    <sheet name="The Scarlet" sheetId="9" state="hidden" r:id="rId5"/>
    <sheet name="The Iris" sheetId="30" state="hidden" r:id="rId6"/>
    <sheet name="The Valleys" sheetId="31" r:id="rId7"/>
    <sheet name="SLG - ENCORE" sheetId="36" r:id="rId8"/>
    <sheet name="The Phoenix" sheetId="4" r:id="rId9"/>
    <sheet name="OFFICE PARK" sheetId="18" r:id="rId10"/>
    <sheet name="SLW-Boomerang" sheetId="27" state="hidden" r:id="rId11"/>
    <sheet name="SLW-Villas" sheetId="21" r:id="rId12"/>
    <sheet name="SLW-Monos" sheetId="22" r:id="rId13"/>
    <sheet name="SLW-Solos" sheetId="38" r:id="rId14"/>
    <sheet name="SLW-Twains" sheetId="26" r:id="rId15"/>
    <sheet name="SLW-Shimmers" sheetId="37" r:id="rId16"/>
    <sheet name="The Selina" sheetId="6" r:id="rId17"/>
    <sheet name="KEYS-52" sheetId="32" state="hidden" r:id="rId18"/>
    <sheet name="The AMAIA" sheetId="20" state="hidden" r:id="rId19"/>
    <sheet name="PARKVIEW" sheetId="1" r:id="rId20"/>
    <sheet name="Park 226" sheetId="13" r:id="rId21"/>
    <sheet name="LVG" sheetId="24" r:id="rId22"/>
    <sheet name="SLO" sheetId="40" state="hidden" r:id="rId23"/>
    <sheet name="SLNX" sheetId="8" r:id="rId24"/>
    <sheet name="SLG" sheetId="14" state="hidden" r:id="rId25"/>
    <sheet name="Little Venice" sheetId="7" state="hidden" r:id="rId26"/>
  </sheets>
  <definedNames>
    <definedName name="_xlnm._FilterDatabase" localSheetId="20" hidden="1">'Park 226'!$A$3:$G$30</definedName>
    <definedName name="_xlnm._FilterDatabase" localSheetId="0" hidden="1">'Park Central'!$A$7:$L$35</definedName>
    <definedName name="_xlnm._FilterDatabase" localSheetId="19" hidden="1">PARKVIEW!#REF!</definedName>
    <definedName name="_xlnm._FilterDatabase" localSheetId="10" hidden="1">'SLW-Boomerang'!$A$1:$G$1</definedName>
    <definedName name="_xlnm._FilterDatabase" localSheetId="15" hidden="1">'SLW-Shimmers'!$A$1:$G$1</definedName>
    <definedName name="_xlnm._FilterDatabase" localSheetId="14" hidden="1">'SLW-Twains'!$A$1:$F$1</definedName>
    <definedName name="_xlnm._FilterDatabase" localSheetId="11" hidden="1">'SLW-Villas'!$A$3:$S$22</definedName>
    <definedName name="_xlnm.Print_Area" localSheetId="17">'KEYS-52'!$A$1:$J$6</definedName>
    <definedName name="_xlnm.Print_Area" localSheetId="21">LVG!$A$1:$H$5</definedName>
    <definedName name="_xlnm.Print_Area" localSheetId="9">'OFFICE PARK'!$A$1:$M$48</definedName>
    <definedName name="_xlnm.Print_Area" localSheetId="20">'Park 226'!$A$1:$J$31</definedName>
    <definedName name="_xlnm.Print_Area" localSheetId="0">'Park Central'!$A$1:$L$35</definedName>
    <definedName name="_xlnm.Print_Area" localSheetId="19">PARKVIEW!$A$1:$G$27</definedName>
    <definedName name="_xlnm.Print_Area" localSheetId="24">SLG!$A$1:$G$6</definedName>
    <definedName name="_xlnm.Print_Area" localSheetId="7">'SLG - ENCORE'!$A$1:$N$22</definedName>
    <definedName name="_xlnm.Print_Area" localSheetId="1">SLN!$A$1:$H$7</definedName>
    <definedName name="_xlnm.Print_Area" localSheetId="23">SLNX!$A$1:$I$7</definedName>
    <definedName name="_xlnm.Print_Area" localSheetId="22">SLO!$A$1:$F$5</definedName>
    <definedName name="_xlnm.Print_Area" localSheetId="15">'SLW-Shimmers'!$A$1:$J$28</definedName>
    <definedName name="_xlnm.Print_Area" localSheetId="13">'SLW-Solos'!$A$1:$J$5</definedName>
    <definedName name="_xlnm.Print_Area" localSheetId="14">'SLW-Twains'!$A$1:$J$13</definedName>
    <definedName name="_xlnm.Print_Area" localSheetId="11">'SLW-Villas'!$A$1:$M$22</definedName>
    <definedName name="_xlnm.Print_Area" localSheetId="18">'The AMAIA'!$A$1:$K$12</definedName>
    <definedName name="_xlnm.Print_Area" localSheetId="8">'The Phoenix'!$A$1:$J$47</definedName>
    <definedName name="_xlnm.Print_Area" localSheetId="16">'The Selina'!$A$1:$I$8</definedName>
    <definedName name="_xlnm.Print_Area" localSheetId="6">'The Valleys'!$A$1:$L$39</definedName>
    <definedName name="_xlnm.Print_Titles" localSheetId="20">'Park 226'!$3:$3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" i="34" l="1"/>
  <c r="A45" i="18"/>
  <c r="A34" i="31"/>
  <c r="A38" i="31"/>
  <c r="A25" i="37"/>
  <c r="A24" i="31"/>
  <c r="A25" i="31"/>
  <c r="A26" i="31"/>
  <c r="A27" i="31"/>
  <c r="A28" i="31"/>
  <c r="A29" i="31"/>
  <c r="A30" i="31"/>
  <c r="A31" i="31"/>
  <c r="A32" i="31"/>
  <c r="A33" i="31"/>
  <c r="A35" i="31"/>
  <c r="A36" i="31"/>
  <c r="A37" i="31"/>
  <c r="A44" i="18" l="1"/>
  <c r="A30" i="34"/>
  <c r="A34" i="34"/>
  <c r="A33" i="34"/>
  <c r="A31" i="34"/>
  <c r="A42" i="18"/>
  <c r="A43" i="18"/>
  <c r="A41" i="18"/>
  <c r="A46" i="18"/>
  <c r="A47" i="18"/>
  <c r="A39" i="18"/>
  <c r="A40" i="18"/>
  <c r="A38" i="18"/>
  <c r="A27" i="37"/>
  <c r="A21" i="31" l="1"/>
  <c r="A22" i="31"/>
  <c r="A23" i="31"/>
  <c r="A23" i="37"/>
  <c r="A24" i="37"/>
  <c r="A26" i="37"/>
  <c r="A35" i="18" l="1"/>
  <c r="A36" i="18"/>
  <c r="A37" i="18"/>
  <c r="A21" i="36"/>
  <c r="A34" i="18"/>
  <c r="A6" i="31"/>
  <c r="A40" i="4"/>
  <c r="A41" i="4"/>
  <c r="A42" i="4"/>
  <c r="A43" i="4"/>
  <c r="A44" i="4"/>
  <c r="A45" i="4"/>
  <c r="A16" i="37"/>
  <c r="A17" i="37"/>
  <c r="A18" i="37"/>
  <c r="A19" i="37"/>
  <c r="A20" i="37"/>
  <c r="A21" i="37"/>
  <c r="A22" i="37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20" i="31"/>
  <c r="A17" i="31"/>
  <c r="A18" i="31"/>
  <c r="A19" i="31"/>
  <c r="A46" i="4"/>
  <c r="A7" i="18"/>
  <c r="A29" i="34"/>
  <c r="A19" i="21"/>
  <c r="A20" i="21"/>
  <c r="A21" i="21"/>
  <c r="A39" i="4"/>
  <c r="A24" i="4"/>
  <c r="A5" i="21"/>
  <c r="A35" i="4" l="1"/>
  <c r="A19" i="34" l="1"/>
  <c r="A33" i="4"/>
  <c r="A22" i="4"/>
  <c r="A7" i="31"/>
  <c r="A10" i="26" l="1"/>
  <c r="A11" i="26"/>
  <c r="A12" i="26"/>
  <c r="A28" i="34"/>
  <c r="A27" i="34" l="1"/>
  <c r="A8" i="26"/>
  <c r="A9" i="26"/>
  <c r="A28" i="4"/>
  <c r="A16" i="31"/>
  <c r="A36" i="4"/>
  <c r="A37" i="4"/>
  <c r="A32" i="4"/>
  <c r="A34" i="4"/>
  <c r="A38" i="4"/>
  <c r="A31" i="4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7" i="36"/>
  <c r="A25" i="34"/>
  <c r="A26" i="34"/>
  <c r="G7" i="25"/>
  <c r="A29" i="13"/>
  <c r="A16" i="21"/>
  <c r="A17" i="21"/>
  <c r="A18" i="21"/>
  <c r="A4" i="38"/>
  <c r="A15" i="31"/>
  <c r="A15" i="37"/>
  <c r="A14" i="37"/>
  <c r="A13" i="37"/>
  <c r="A12" i="37"/>
  <c r="A11" i="37"/>
  <c r="A10" i="37"/>
  <c r="A9" i="37"/>
  <c r="A8" i="37"/>
  <c r="A7" i="37"/>
  <c r="A6" i="37"/>
  <c r="A5" i="37"/>
  <c r="A4" i="37"/>
  <c r="A7" i="26"/>
  <c r="A6" i="26"/>
  <c r="A5" i="26"/>
  <c r="A4" i="26"/>
  <c r="A4" i="22"/>
  <c r="A12" i="31"/>
  <c r="A15" i="21"/>
  <c r="A10" i="20" l="1"/>
  <c r="A4" i="21"/>
  <c r="A13" i="21" l="1"/>
  <c r="A12" i="21"/>
  <c r="A8" i="31" l="1"/>
  <c r="A9" i="31"/>
  <c r="A10" i="31"/>
  <c r="A11" i="31"/>
  <c r="A13" i="31"/>
  <c r="A14" i="31"/>
  <c r="A14" i="21" l="1"/>
  <c r="A6" i="21" l="1"/>
  <c r="A7" i="20" l="1"/>
  <c r="A8" i="20"/>
  <c r="A9" i="20"/>
  <c r="A11" i="20"/>
  <c r="A11" i="4" l="1"/>
  <c r="A12" i="4"/>
  <c r="A13" i="4"/>
  <c r="A14" i="4"/>
  <c r="A15" i="4"/>
  <c r="A16" i="4"/>
  <c r="A17" i="4"/>
  <c r="A18" i="4"/>
  <c r="A19" i="4"/>
  <c r="A20" i="4"/>
  <c r="A21" i="4"/>
  <c r="A9" i="4"/>
  <c r="A10" i="4"/>
  <c r="A23" i="4"/>
  <c r="A25" i="4"/>
  <c r="A26" i="4"/>
  <c r="A27" i="4"/>
  <c r="A29" i="4"/>
  <c r="A30" i="4"/>
  <c r="A7" i="21" l="1"/>
  <c r="A8" i="21"/>
  <c r="A9" i="21"/>
  <c r="A10" i="21"/>
  <c r="A11" i="21"/>
  <c r="A12" i="1" l="1"/>
  <c r="A6" i="20" l="1"/>
  <c r="A16" i="34"/>
  <c r="A8" i="34" l="1"/>
  <c r="A9" i="34"/>
  <c r="A10" i="34"/>
  <c r="A11" i="34"/>
  <c r="A12" i="34"/>
  <c r="A13" i="34"/>
  <c r="A14" i="34"/>
  <c r="A15" i="34"/>
  <c r="A17" i="34"/>
  <c r="A18" i="34"/>
  <c r="A20" i="34"/>
  <c r="A21" i="34"/>
  <c r="A22" i="34"/>
  <c r="A23" i="34"/>
  <c r="A24" i="34"/>
  <c r="A25" i="13" l="1"/>
  <c r="J5" i="32" l="1"/>
  <c r="H5" i="32"/>
  <c r="A5" i="32"/>
  <c r="A4" i="13" l="1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6" i="13"/>
  <c r="A27" i="13"/>
  <c r="A28" i="13"/>
  <c r="A30" i="13"/>
  <c r="A4" i="20"/>
  <c r="A5" i="20"/>
  <c r="A5" i="4"/>
  <c r="A6" i="4"/>
  <c r="A7" i="4"/>
  <c r="A8" i="4"/>
  <c r="A5" i="1"/>
  <c r="A6" i="1"/>
  <c r="A7" i="1"/>
  <c r="A8" i="1"/>
  <c r="A9" i="1"/>
  <c r="A10" i="1"/>
  <c r="A11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4" i="1"/>
  <c r="H13" i="30" l="1"/>
  <c r="B13" i="30"/>
  <c r="G16" i="27" l="1"/>
  <c r="B16" i="27"/>
  <c r="B7" i="25" l="1"/>
  <c r="H7" i="9"/>
  <c r="B6" i="15"/>
  <c r="F10" i="7" l="1"/>
  <c r="B10" i="7"/>
  <c r="G6" i="14" l="1"/>
  <c r="G6" i="15" l="1"/>
  <c r="B7" i="9" l="1"/>
</calcChain>
</file>

<file path=xl/sharedStrings.xml><?xml version="1.0" encoding="utf-8"?>
<sst xmlns="http://schemas.openxmlformats.org/spreadsheetml/2006/main" count="1278" uniqueCount="508">
  <si>
    <t>Land Area</t>
  </si>
  <si>
    <t>Roof</t>
  </si>
  <si>
    <t>-</t>
  </si>
  <si>
    <t>BUA</t>
  </si>
  <si>
    <t>Garden Area</t>
  </si>
  <si>
    <t>#</t>
  </si>
  <si>
    <t>Unit Code</t>
  </si>
  <si>
    <t>Unit Type</t>
  </si>
  <si>
    <t>Design Type</t>
  </si>
  <si>
    <t>Design Area</t>
  </si>
  <si>
    <t>Total Unit Price</t>
  </si>
  <si>
    <t>UNIT CODE</t>
  </si>
  <si>
    <t>Project</t>
  </si>
  <si>
    <t>FLOOR</t>
  </si>
  <si>
    <t>GARDEN AREA</t>
  </si>
  <si>
    <t>UNIT PRICE</t>
  </si>
  <si>
    <t>Unit Name</t>
  </si>
  <si>
    <t>Floor</t>
  </si>
  <si>
    <t>Roof Terrace Area</t>
  </si>
  <si>
    <t>Total Garden Area</t>
  </si>
  <si>
    <t>No.</t>
  </si>
  <si>
    <t>Type</t>
  </si>
  <si>
    <t>Basement Area</t>
  </si>
  <si>
    <t>Unit</t>
  </si>
  <si>
    <t>HAPTOWN - PARKVIEW AVAILABLE UNITS</t>
  </si>
  <si>
    <t>SLR - PHOENIX AVAILABLE UNITS</t>
  </si>
  <si>
    <t>SLR - SELINA AVAILABLE UNITS</t>
  </si>
  <si>
    <t>SLR - SCARLET AVAILABLE UNITS</t>
  </si>
  <si>
    <t>LITTLE VENICE AVAILABLE UNITS</t>
  </si>
  <si>
    <t>Second</t>
  </si>
  <si>
    <t>Third</t>
  </si>
  <si>
    <t>Fourth</t>
  </si>
  <si>
    <t>Haptown - Park 226 AVAILABLE UNITS</t>
  </si>
  <si>
    <t>LVG-3-C-C-13</t>
  </si>
  <si>
    <t>LVG-3-V-B-168</t>
  </si>
  <si>
    <t>LVG-3-V-B-212</t>
  </si>
  <si>
    <t>SWANLAKE El GOUNA Available Units</t>
  </si>
  <si>
    <t>No. of Bedrooms</t>
  </si>
  <si>
    <t>Total Area</t>
  </si>
  <si>
    <t>Total Price</t>
  </si>
  <si>
    <t>SLG-03-A-24</t>
  </si>
  <si>
    <t>SLR - Giselle AVAILABLE UNITS</t>
  </si>
  <si>
    <t>PRICE</t>
  </si>
  <si>
    <t>BUILDING NUMBER</t>
  </si>
  <si>
    <t>NUMBER OF BEDS</t>
  </si>
  <si>
    <t>GROSS BUA</t>
  </si>
  <si>
    <t>Unit Price</t>
  </si>
  <si>
    <t>GROSS AREA</t>
  </si>
  <si>
    <t>OFFICE TERRACE</t>
  </si>
  <si>
    <t>NO. OF DEDICATED PARKING</t>
  </si>
  <si>
    <t>LAND</t>
  </si>
  <si>
    <t>ROOF TERRACE</t>
  </si>
  <si>
    <t>HT-SN-089-HS-A</t>
  </si>
  <si>
    <t>Townhouse</t>
  </si>
  <si>
    <t>SEASONS AVAILABLE UNITS</t>
  </si>
  <si>
    <t>SLR - Office Park AVAILABLE UNITS</t>
  </si>
  <si>
    <t>HT-PV-07-A2-45</t>
  </si>
  <si>
    <t>HT-PV-09-C1-34</t>
  </si>
  <si>
    <t>HT-PV-14-H1-55</t>
  </si>
  <si>
    <t>HT-PV-14-H1-64</t>
  </si>
  <si>
    <t> 0</t>
  </si>
  <si>
    <t>LVG-3-T-A-7</t>
  </si>
  <si>
    <t>0 </t>
  </si>
  <si>
    <t>LVG-3-V-C-29</t>
  </si>
  <si>
    <t>Open Roof Terrace</t>
  </si>
  <si>
    <t>UNIT TYPE</t>
  </si>
  <si>
    <t>SLR - AMAIA AVAILABLE UNITS</t>
  </si>
  <si>
    <t>OPEN ROOF TERRACE</t>
  </si>
  <si>
    <t>Total Unit Price (4 years)</t>
  </si>
  <si>
    <t>SWANLAKE NORTH AVAILABLE UNITS</t>
  </si>
  <si>
    <t>Land AREA</t>
  </si>
  <si>
    <t>UNIT_CODE</t>
  </si>
  <si>
    <t>Land</t>
  </si>
  <si>
    <t>Garden</t>
  </si>
  <si>
    <t xml:space="preserve">LV AVAILABLE UNITS </t>
  </si>
  <si>
    <t>SLW- Boomerang AVAILABLE UNITS</t>
  </si>
  <si>
    <t>5% DP</t>
  </si>
  <si>
    <t>HT-PV-01-A2-65</t>
  </si>
  <si>
    <t>Apartment - 3 Bedroom</t>
  </si>
  <si>
    <t>Apartment - 2 Bedroom</t>
  </si>
  <si>
    <t>HT-PV-02-B1-27</t>
  </si>
  <si>
    <t>HT-PV-02-B1-36</t>
  </si>
  <si>
    <t>HT-PV-04-A1-25</t>
  </si>
  <si>
    <t>HT-PV-04-A1-65</t>
  </si>
  <si>
    <t>HT-PV-06-A1-53</t>
  </si>
  <si>
    <t>HT-PV-08-A1-13</t>
  </si>
  <si>
    <t>HT-PV-15-M1-12</t>
  </si>
  <si>
    <t>HT-PV-15-M1-36</t>
  </si>
  <si>
    <t>HT-PV-15-M1-46</t>
  </si>
  <si>
    <t>HT-PV-15-M1-56</t>
  </si>
  <si>
    <t>HT-PV-15-M1-62</t>
  </si>
  <si>
    <t>HT-PV-15-M1-65</t>
  </si>
  <si>
    <t>HT-PV-15-M1-66</t>
  </si>
  <si>
    <t>HT-PV-15-M2-62</t>
  </si>
  <si>
    <t>HT-PV-18-L1-64</t>
  </si>
  <si>
    <t>HT-PV-12-C1-26</t>
  </si>
  <si>
    <t>SLW-2002-B1-12</t>
  </si>
  <si>
    <t>SWAN LAKE Residences - The IRIS Availability</t>
  </si>
  <si>
    <t>10% DP</t>
  </si>
  <si>
    <t xml:space="preserve">Total Unit Price </t>
  </si>
  <si>
    <t>10%</t>
  </si>
  <si>
    <t>SLW-8001-B1-01</t>
  </si>
  <si>
    <t>SLW-8001-B2-01</t>
  </si>
  <si>
    <t>SLW-8001-B2-02</t>
  </si>
  <si>
    <t>SLW-8001-B2-31</t>
  </si>
  <si>
    <t>SLW-3001-TW-A</t>
  </si>
  <si>
    <t>SLW-3001-TW-B</t>
  </si>
  <si>
    <t>SLW-3002-TW-A</t>
  </si>
  <si>
    <t>SLW-3002-TW-B</t>
  </si>
  <si>
    <t>SLW-8003-B1-02</t>
  </si>
  <si>
    <t>SLW-8003-B1-22</t>
  </si>
  <si>
    <t>SLW-8003-B1-31</t>
  </si>
  <si>
    <t>SLW-8003-B2-11</t>
  </si>
  <si>
    <t>HT-PV-15-M1-64</t>
  </si>
  <si>
    <t>APARTMENT</t>
  </si>
  <si>
    <t>Two Bedrooms</t>
  </si>
  <si>
    <t>FIRST</t>
  </si>
  <si>
    <t>Three Bedrooms</t>
  </si>
  <si>
    <t>GROUND</t>
  </si>
  <si>
    <t>SLR-SL-155-SV-K</t>
  </si>
  <si>
    <t>Standalone Villa</t>
  </si>
  <si>
    <t>5% Reservation</t>
  </si>
  <si>
    <t>MONOS - Apartment 4 Bedrooms</t>
  </si>
  <si>
    <t>SLR-AM-304-B1-01</t>
  </si>
  <si>
    <t>304-B1</t>
  </si>
  <si>
    <t>SLR-PH-10-B14-01</t>
  </si>
  <si>
    <t>SLR-PH-10-B14-32</t>
  </si>
  <si>
    <t>SLR-PH-10-B14-42</t>
  </si>
  <si>
    <t>SLR-PH-10-B14-44</t>
  </si>
  <si>
    <t>SLR-PH-10-B14-52</t>
  </si>
  <si>
    <t>SLR-PH-10-B14-54</t>
  </si>
  <si>
    <t>SECOND</t>
  </si>
  <si>
    <t>THIRD</t>
  </si>
  <si>
    <t>FOURTH</t>
  </si>
  <si>
    <t>FIFTH</t>
  </si>
  <si>
    <t>SLR-AM-304-B2-01</t>
  </si>
  <si>
    <t>304-B2</t>
  </si>
  <si>
    <t>304-B3</t>
  </si>
  <si>
    <t>THE VALLEYS AVAILABLE UNITS</t>
  </si>
  <si>
    <t>DESIGN</t>
  </si>
  <si>
    <t>LAND AREA</t>
  </si>
  <si>
    <t>Final Price</t>
  </si>
  <si>
    <t>SV-A</t>
  </si>
  <si>
    <t>TW-A</t>
  </si>
  <si>
    <t>Twin Villa B</t>
  </si>
  <si>
    <t>TW-B</t>
  </si>
  <si>
    <t>DP 5%</t>
  </si>
  <si>
    <t>HT-SE-20-Q2-01</t>
  </si>
  <si>
    <t>Ground</t>
  </si>
  <si>
    <t>3 Bedrooms</t>
  </si>
  <si>
    <t>HT-SE-20-Q2-03</t>
  </si>
  <si>
    <t>HT-SE-20-Q2-11</t>
  </si>
  <si>
    <t>First</t>
  </si>
  <si>
    <t>2 Bedrooms</t>
  </si>
  <si>
    <t>HT-SE-20-Q2-14</t>
  </si>
  <si>
    <t>HT-SE-20-Q2-23</t>
  </si>
  <si>
    <t>HT-SE-20-Q2-24</t>
  </si>
  <si>
    <t>HT-SE-20-Q2-33</t>
  </si>
  <si>
    <t>HT-SE-20-Q2-34</t>
  </si>
  <si>
    <t>HT-SE-20-Q2-43</t>
  </si>
  <si>
    <t>HT-SE-20-Q2-51</t>
  </si>
  <si>
    <t>Fifth</t>
  </si>
  <si>
    <t>HT-SE-20-Q2-52</t>
  </si>
  <si>
    <t>HT-SE-20-Q2-53</t>
  </si>
  <si>
    <t>HT-SE-20-Q2-54</t>
  </si>
  <si>
    <t>Penthouse</t>
  </si>
  <si>
    <t>Sixth</t>
  </si>
  <si>
    <t>HT-SE-20-Q2-62</t>
  </si>
  <si>
    <t>HT-SE-21-N1-01</t>
  </si>
  <si>
    <t>HT-SE-21-N1-03</t>
  </si>
  <si>
    <t>HT-SE-21-N1-11</t>
  </si>
  <si>
    <t>HT-SE-21-N1-14</t>
  </si>
  <si>
    <t>HT-SE-21-N1-21</t>
  </si>
  <si>
    <t>HT-SE-21-N1-23</t>
  </si>
  <si>
    <t>HT-SE-21-N1-33</t>
  </si>
  <si>
    <t>HT-SE-21-N1-43</t>
  </si>
  <si>
    <t>HT-SE-21-N1-51</t>
  </si>
  <si>
    <t>HT-SE-21-N1-53</t>
  </si>
  <si>
    <t>HT-SE-21-N1-54</t>
  </si>
  <si>
    <t>50 % Reservation</t>
  </si>
  <si>
    <t>SLR-SL-160-SV-S</t>
  </si>
  <si>
    <t>K52-C1-01</t>
  </si>
  <si>
    <t>C1</t>
  </si>
  <si>
    <t>Unit type</t>
  </si>
  <si>
    <t>BUILDING</t>
  </si>
  <si>
    <t>Apartment-4 Bedroom</t>
  </si>
  <si>
    <t>10% DP2</t>
  </si>
  <si>
    <t>PRICE FF</t>
  </si>
  <si>
    <t>PRICE FR</t>
  </si>
  <si>
    <t xml:space="preserve"> Keys / 52 AVAILABLE UNITS</t>
  </si>
  <si>
    <t>0</t>
  </si>
  <si>
    <t xml:space="preserve"> -   </t>
  </si>
  <si>
    <t>HT-SE-21-N1-41</t>
  </si>
  <si>
    <t>PARK CENTRAL Availability</t>
  </si>
  <si>
    <t>UNIT CODES</t>
  </si>
  <si>
    <t>ZONE</t>
  </si>
  <si>
    <t>CLUSTER</t>
  </si>
  <si>
    <t>NUMBER OF BEDROOMS</t>
  </si>
  <si>
    <t>TOTAL GARDEN AREA</t>
  </si>
  <si>
    <t>Price</t>
  </si>
  <si>
    <t>A4</t>
  </si>
  <si>
    <t>A5</t>
  </si>
  <si>
    <t>A3</t>
  </si>
  <si>
    <t>PC1-A3-08-SA-01</t>
  </si>
  <si>
    <t>One Bedroom plus</t>
  </si>
  <si>
    <t>A6</t>
  </si>
  <si>
    <t>One Bedroom</t>
  </si>
  <si>
    <t>PENTHOUSE</t>
  </si>
  <si>
    <t>Three Bedrooms plus</t>
  </si>
  <si>
    <t>PC1-A4-03-LB-34</t>
  </si>
  <si>
    <t>Two Bedrooms plus</t>
  </si>
  <si>
    <t>PC1-A5-05-LB-21</t>
  </si>
  <si>
    <t>PC1-A3-01-SA-24</t>
  </si>
  <si>
    <t>PC1-A3-02-LB-51</t>
  </si>
  <si>
    <t>PC1-A3-02-LB-52</t>
  </si>
  <si>
    <t>PC1-A3-06-LB-11</t>
  </si>
  <si>
    <t>PC1-A6-01-LB-41</t>
  </si>
  <si>
    <t>PC1-A6-02-SA-34</t>
  </si>
  <si>
    <t>PC1-A6-02-SA-41</t>
  </si>
  <si>
    <t>PC1-A6-05-LB-21</t>
  </si>
  <si>
    <t>DUPLEX</t>
  </si>
  <si>
    <t>SLR-AM-304-B3-31</t>
  </si>
  <si>
    <t>MONOS - Penthouse 3 Bedroom</t>
  </si>
  <si>
    <t>ENCORE Available Inventory</t>
  </si>
  <si>
    <t>BUILDING #</t>
  </si>
  <si>
    <t>GARDEN</t>
  </si>
  <si>
    <t>TOTAL PRICE</t>
  </si>
  <si>
    <t>ENC-LB01-21</t>
  </si>
  <si>
    <t>ENC-SA02-21</t>
  </si>
  <si>
    <t>ENC-SB02-21</t>
  </si>
  <si>
    <t>PENTHOUSE-Three Bedrooms</t>
  </si>
  <si>
    <t>3 Bedroom</t>
  </si>
  <si>
    <t>4 Bedroom</t>
  </si>
  <si>
    <t>2 Bedroom</t>
  </si>
  <si>
    <t>SLW-8003-B1-12</t>
  </si>
  <si>
    <t>V3</t>
  </si>
  <si>
    <t>Standalone Villa F</t>
  </si>
  <si>
    <t>SV-F</t>
  </si>
  <si>
    <t>Standalone Villa G</t>
  </si>
  <si>
    <t>SV-G</t>
  </si>
  <si>
    <t>TN-B</t>
  </si>
  <si>
    <t>VAL-V3-230-TF-A</t>
  </si>
  <si>
    <t>Townhouse 4 Corner</t>
  </si>
  <si>
    <t>TF-A</t>
  </si>
  <si>
    <t>Standalone Villa D</t>
  </si>
  <si>
    <t>SV-D</t>
  </si>
  <si>
    <t>VAL-V3-232-SV-D</t>
  </si>
  <si>
    <t>HT-PV-08-A1-64</t>
  </si>
  <si>
    <t>ENC-SA02-22</t>
  </si>
  <si>
    <t>PENTHOUSE-Four Bedrooms</t>
  </si>
  <si>
    <t>DUPLEX-Three Bedrooms</t>
  </si>
  <si>
    <t>ENC-LB01-02</t>
  </si>
  <si>
    <t>APARTMENT-Three Bedrooms</t>
  </si>
  <si>
    <t>ENC-SB02-01</t>
  </si>
  <si>
    <t>ENC-LA01-11</t>
  </si>
  <si>
    <t>DP 7 Years</t>
  </si>
  <si>
    <t>DP 10 Years</t>
  </si>
  <si>
    <t>TWIN VILLA</t>
  </si>
  <si>
    <t>STANDALONE VILLA</t>
  </si>
  <si>
    <t>VL-L</t>
  </si>
  <si>
    <t>SLW-5012-VL-L</t>
  </si>
  <si>
    <t>SLW-1008-C1-31</t>
  </si>
  <si>
    <t>SLW-2003-B1-11</t>
  </si>
  <si>
    <t>SLW-2003-B1-12</t>
  </si>
  <si>
    <t>SLW-2007-B1-11</t>
  </si>
  <si>
    <t>SLW-2007-B1-12</t>
  </si>
  <si>
    <t>SLW-2007-B1-21</t>
  </si>
  <si>
    <t>SLW-2007-B1-22</t>
  </si>
  <si>
    <t>B1</t>
  </si>
  <si>
    <t>SLW-8001-B1-31</t>
  </si>
  <si>
    <t>B2</t>
  </si>
  <si>
    <t>PC1-A3-08-SA-31</t>
  </si>
  <si>
    <t>SLR-PH-10-B14-04</t>
  </si>
  <si>
    <t>SLR-PH-10-B04-04</t>
  </si>
  <si>
    <t>SLR-PH-10-B04-12</t>
  </si>
  <si>
    <t>SLR-PH-10-B04-14</t>
  </si>
  <si>
    <t>SLR-PH-10-B04-22</t>
  </si>
  <si>
    <t>SLR-PH-10-B04-24</t>
  </si>
  <si>
    <t>SLR-PH-10-B04-42</t>
  </si>
  <si>
    <t>SLR-PH-10-B04-44</t>
  </si>
  <si>
    <t>SLR-PH-10-B04-52</t>
  </si>
  <si>
    <t>SLR-PH-10-B04-54</t>
  </si>
  <si>
    <t>SLR-PH-13-B14-01</t>
  </si>
  <si>
    <t>SLR-PH-13-B14-12</t>
  </si>
  <si>
    <t>SLR-PH-13-B14-14</t>
  </si>
  <si>
    <t>SLR-PH-13-B14-22</t>
  </si>
  <si>
    <t>SLR-PH-13-B14-24</t>
  </si>
  <si>
    <t>SLR-PH-13-B14-34</t>
  </si>
  <si>
    <t>SLR-PH-13-B14-42</t>
  </si>
  <si>
    <t>SLR-PH-13-B14-44</t>
  </si>
  <si>
    <t>SLR-PH-13-B14-52</t>
  </si>
  <si>
    <t>SLR-PH-13-B14-54</t>
  </si>
  <si>
    <t>SLR-AM-305-B2-01</t>
  </si>
  <si>
    <t>305-B2</t>
  </si>
  <si>
    <t>SLR-AM-305-B2-11</t>
  </si>
  <si>
    <t>SLR-AM-305-B2-21</t>
  </si>
  <si>
    <t>305-B3</t>
  </si>
  <si>
    <t>SLR-AM-305-B3-31</t>
  </si>
  <si>
    <t>MONOS - Apartment 3 Bedrooms</t>
  </si>
  <si>
    <t>SLR-SL-157-SV-K</t>
  </si>
  <si>
    <t>SLR-OP-A02-101</t>
  </si>
  <si>
    <t>A02</t>
  </si>
  <si>
    <t>SLR-OP-A02-103</t>
  </si>
  <si>
    <t>SLR-OP-A02-104</t>
  </si>
  <si>
    <t>SLR-OP-A02-301</t>
  </si>
  <si>
    <t>SLR-OP-A02-304</t>
  </si>
  <si>
    <t>C02</t>
  </si>
  <si>
    <t>SLR-OP-C02-106</t>
  </si>
  <si>
    <t>SLR-OP-C02-107</t>
  </si>
  <si>
    <t>SLR-OP-C02-108</t>
  </si>
  <si>
    <t>SLR-OP-C02-111</t>
  </si>
  <si>
    <t>SLR-OP-C02-208</t>
  </si>
  <si>
    <t>SLR-OP-C02-211</t>
  </si>
  <si>
    <t>SLR-OP-C02-307</t>
  </si>
  <si>
    <t>SLR-OP-C02-308</t>
  </si>
  <si>
    <t>SLR-OP-C02-311</t>
  </si>
  <si>
    <t>SLR-OP-C02-401</t>
  </si>
  <si>
    <t>SLR-OP-C02-403</t>
  </si>
  <si>
    <t>SLR-OP-C02-405</t>
  </si>
  <si>
    <t>SLR-OP-C02-406</t>
  </si>
  <si>
    <t>SLR-OP-C02-407</t>
  </si>
  <si>
    <t>SLR-OP-C02-408</t>
  </si>
  <si>
    <t>SLR-OP-C02-409</t>
  </si>
  <si>
    <t>SLR-OP-C02-410</t>
  </si>
  <si>
    <t>SLR-OP-C02-501</t>
  </si>
  <si>
    <t>SLR-OP-C02-502</t>
  </si>
  <si>
    <t>SLR-OP-C02-503</t>
  </si>
  <si>
    <t>SLR-OP-C02-506</t>
  </si>
  <si>
    <t>SLR-OP-C02-507</t>
  </si>
  <si>
    <t>SLR-OP-C02-508</t>
  </si>
  <si>
    <t>SLR-OP-C02-509</t>
  </si>
  <si>
    <t>SLR-OP-C02-510</t>
  </si>
  <si>
    <t>SLW-4005-SV-A</t>
  </si>
  <si>
    <t>VL-X</t>
  </si>
  <si>
    <t>SLW-4008-SV-A</t>
  </si>
  <si>
    <t>ENC-LB01-11</t>
  </si>
  <si>
    <t>4 Years</t>
  </si>
  <si>
    <t>APARTMENT-Two Bedrooms</t>
  </si>
  <si>
    <t>ENC-NA05-02</t>
  </si>
  <si>
    <t>ENC-NA05-04</t>
  </si>
  <si>
    <t>ENC-NA05-05</t>
  </si>
  <si>
    <t>ENC-NA05-11</t>
  </si>
  <si>
    <t>ENC-NA05-13</t>
  </si>
  <si>
    <t>ENC-NA05-15</t>
  </si>
  <si>
    <t>SLW-8003-B1-11</t>
  </si>
  <si>
    <t>VAL-V3-231-SV-D</t>
  </si>
  <si>
    <t>SLW-3004-TW-B</t>
  </si>
  <si>
    <t>SLR-AM-305-B3-11</t>
  </si>
  <si>
    <t>SLW-2003-B1-21</t>
  </si>
  <si>
    <t>A04</t>
  </si>
  <si>
    <t>SLW-0901-SV-T</t>
  </si>
  <si>
    <t>SLW-3005-TW-A</t>
  </si>
  <si>
    <t>SLW-5001-VL-X</t>
  </si>
  <si>
    <t>SV-T</t>
  </si>
  <si>
    <t>UNIT DESCRIPTION</t>
  </si>
  <si>
    <t>ROOF TERRACE AREA</t>
  </si>
  <si>
    <t>BASEMENT</t>
  </si>
  <si>
    <t>TOTAL PRICE - 7 Years</t>
  </si>
  <si>
    <t>TOTAL PRICE - 10 Years</t>
  </si>
  <si>
    <t>SLW-2005-B1-02</t>
  </si>
  <si>
    <t>SWAN LAKE WEST AVAILABLE UNITS</t>
  </si>
  <si>
    <r>
      <t xml:space="preserve">SWANLAKE WEST - </t>
    </r>
    <r>
      <rPr>
        <b/>
        <sz val="18"/>
        <color rgb="FFFF0000"/>
        <rFont val="Calibri"/>
        <family val="2"/>
        <scheme val="minor"/>
      </rPr>
      <t>MONOS</t>
    </r>
    <r>
      <rPr>
        <b/>
        <sz val="18"/>
        <color rgb="FFFFFFFF"/>
        <rFont val="Calibri"/>
        <family val="2"/>
        <scheme val="minor"/>
      </rPr>
      <t xml:space="preserve"> INVENTORY</t>
    </r>
  </si>
  <si>
    <r>
      <t xml:space="preserve">SWANLAKE WEST - </t>
    </r>
    <r>
      <rPr>
        <b/>
        <sz val="17"/>
        <color rgb="FFFF0000"/>
        <rFont val="Calibri"/>
        <family val="2"/>
        <scheme val="minor"/>
      </rPr>
      <t>Twains</t>
    </r>
    <r>
      <rPr>
        <b/>
        <sz val="17"/>
        <color theme="0"/>
        <rFont val="Calibri"/>
        <family val="2"/>
        <scheme val="minor"/>
      </rPr>
      <t xml:space="preserve"> AVAILABLE UNITS</t>
    </r>
  </si>
  <si>
    <t>CLUSTER #</t>
  </si>
  <si>
    <t>Unit #</t>
  </si>
  <si>
    <t>Gross BUA</t>
  </si>
  <si>
    <t>Unit code</t>
  </si>
  <si>
    <t>Number of Bedrooms</t>
  </si>
  <si>
    <t>Sellable BUA</t>
  </si>
  <si>
    <r>
      <t xml:space="preserve">SWANLAKE WEST - </t>
    </r>
    <r>
      <rPr>
        <b/>
        <sz val="17"/>
        <color rgb="FFFF0000"/>
        <rFont val="Calibri"/>
        <family val="2"/>
        <scheme val="minor"/>
      </rPr>
      <t>Shimmers</t>
    </r>
    <r>
      <rPr>
        <b/>
        <sz val="17"/>
        <color theme="0"/>
        <rFont val="Calibri"/>
        <family val="2"/>
        <scheme val="minor"/>
      </rPr>
      <t xml:space="preserve"> AVAILABLE UNITS</t>
    </r>
  </si>
  <si>
    <t>VAL-V3-215-SV-G</t>
  </si>
  <si>
    <t>VAL-V3-218-SV-G</t>
  </si>
  <si>
    <t>VAL-V3-224-SV-F</t>
  </si>
  <si>
    <t>VAL-V3-229-TN-B</t>
  </si>
  <si>
    <r>
      <t xml:space="preserve">SWANLAKE WEST - </t>
    </r>
    <r>
      <rPr>
        <b/>
        <sz val="18"/>
        <color rgb="FFFF0000"/>
        <rFont val="Calibri"/>
        <family val="2"/>
        <scheme val="minor"/>
      </rPr>
      <t>Solos</t>
    </r>
    <r>
      <rPr>
        <b/>
        <sz val="18"/>
        <color rgb="FFFFFFFF"/>
        <rFont val="Calibri"/>
        <family val="2"/>
        <scheme val="minor"/>
      </rPr>
      <t xml:space="preserve"> INVENTORY</t>
    </r>
  </si>
  <si>
    <t>SLW-6009-SO-A</t>
  </si>
  <si>
    <t>Apartment</t>
  </si>
  <si>
    <t>Apartment 4 Bedrooms</t>
  </si>
  <si>
    <t>Roof Area</t>
  </si>
  <si>
    <t>SLW-7006-SV-E</t>
  </si>
  <si>
    <t>SV-E</t>
  </si>
  <si>
    <t>SLW-7007-SV-E</t>
  </si>
  <si>
    <t>SLW-7009-SV-D</t>
  </si>
  <si>
    <t>HT-SE-20-Q2-13</t>
  </si>
  <si>
    <t>SLR-OP-A02-403</t>
  </si>
  <si>
    <t>DP 25%</t>
  </si>
  <si>
    <t>SWANLAKE NORTH - Old Phases - 25 % DP over 2 years - Ready to move</t>
  </si>
  <si>
    <t>SLR-PH-10-B14-22</t>
  </si>
  <si>
    <t>10% DP3</t>
  </si>
  <si>
    <t>7 Years</t>
  </si>
  <si>
    <t>3 Years</t>
  </si>
  <si>
    <t>Price 2</t>
  </si>
  <si>
    <t>Price 3</t>
  </si>
  <si>
    <t>SLR-OP-C02-101</t>
  </si>
  <si>
    <t>PC1-A3-06-LA-21</t>
  </si>
  <si>
    <t>PC1-A5-01-LA-03</t>
  </si>
  <si>
    <t>PC1-A5-03-MA-04</t>
  </si>
  <si>
    <t>PC1-A6-05-LA-41</t>
  </si>
  <si>
    <t>6 years</t>
  </si>
  <si>
    <t>4 years</t>
  </si>
  <si>
    <t>PC1-A4-01-SA-12</t>
  </si>
  <si>
    <t>PC1-A4-01-SA-22</t>
  </si>
  <si>
    <t>PC1-A3-08-SA-32</t>
  </si>
  <si>
    <t>PC1-A3-08-SA-51</t>
  </si>
  <si>
    <t>SLR-PH-13-B04-01</t>
  </si>
  <si>
    <t>SLR-PH-13-B04-14</t>
  </si>
  <si>
    <t>SLR-PH-13-B04-24</t>
  </si>
  <si>
    <t>SLR-PH-13-B04-34</t>
  </si>
  <si>
    <t>SLR-PH-13-B04-44</t>
  </si>
  <si>
    <t>SLR-PH-13-B04-52</t>
  </si>
  <si>
    <t>SLR-PH-13-B04-54</t>
  </si>
  <si>
    <t>VAL-V3-221-SV-G</t>
  </si>
  <si>
    <t>SLR-PH-13-B14-32</t>
  </si>
  <si>
    <t>Unfinished</t>
  </si>
  <si>
    <t>TOTAL PRICE 2</t>
  </si>
  <si>
    <t>5% Reservation 2</t>
  </si>
  <si>
    <t>TOTAL PRICE 3</t>
  </si>
  <si>
    <t>5% Reservation 3</t>
  </si>
  <si>
    <t>SLW-8003-B2-31</t>
  </si>
  <si>
    <t>SLR-PH-13-B14-04</t>
  </si>
  <si>
    <t>SLR-PH-13-B04-04</t>
  </si>
  <si>
    <t>PC1-A6-01-LA-34</t>
  </si>
  <si>
    <t>SLR-OP-C02-309</t>
  </si>
  <si>
    <t>SLW-1105-SV-F</t>
  </si>
  <si>
    <t>Standalone Loft Villa</t>
  </si>
  <si>
    <t>SLR-PH-12-B13-24</t>
  </si>
  <si>
    <t>SLW-1113-TL-B</t>
  </si>
  <si>
    <t>SLW-5010-VL-X</t>
  </si>
  <si>
    <t>SLW-5013-VL-L</t>
  </si>
  <si>
    <t>Twin Loft Villa</t>
  </si>
  <si>
    <t>TL-B</t>
  </si>
  <si>
    <t>5 years</t>
  </si>
  <si>
    <t>PC1-A3-07-SA-13</t>
  </si>
  <si>
    <t>SLR-OP-A04-505</t>
  </si>
  <si>
    <t>SLR-PH-12-B13-03</t>
  </si>
  <si>
    <t>VAL-V3-255-TN-A</t>
  </si>
  <si>
    <t>Twin Villa A</t>
  </si>
  <si>
    <t>TN-A</t>
  </si>
  <si>
    <t>VAL-V3-255-TN-B</t>
  </si>
  <si>
    <t>VAL-V3-256-TN-A</t>
  </si>
  <si>
    <t>VAL-V3-257-TN-A</t>
  </si>
  <si>
    <t>VAL-V3-257-TN-B</t>
  </si>
  <si>
    <t>PC1-A4-01-SA-14</t>
  </si>
  <si>
    <t>SLO Inventory</t>
  </si>
  <si>
    <t>15 % Reservation</t>
  </si>
  <si>
    <t>SLO-1-V5-75</t>
  </si>
  <si>
    <t>SLW-8011-B1-01</t>
  </si>
  <si>
    <t>SLW-8011-B1-02</t>
  </si>
  <si>
    <t>SLW-8011-B2-02</t>
  </si>
  <si>
    <t>SLW-8011-B1-11</t>
  </si>
  <si>
    <t>SLW-8011-B1-12</t>
  </si>
  <si>
    <t>SLW-8011-B2-11</t>
  </si>
  <si>
    <t>SLW-8011-B2-12</t>
  </si>
  <si>
    <t>SLW-8011-B1-22</t>
  </si>
  <si>
    <t>SLW-8011-B2-21</t>
  </si>
  <si>
    <t>SLR-PH-10-B04-02</t>
  </si>
  <si>
    <t>SLR-PH-10-B14-02</t>
  </si>
  <si>
    <t>SLR-PH-10-B14-03</t>
  </si>
  <si>
    <t>VAL-V3-206-SV-G</t>
  </si>
  <si>
    <t>SLR-OP-C02-304</t>
  </si>
  <si>
    <t>VAL-V3-229-TN-A</t>
  </si>
  <si>
    <t>ENC-NA05-14</t>
  </si>
  <si>
    <t>SLR-OP-C02-306</t>
  </si>
  <si>
    <t>SLR-OP-C02-504</t>
  </si>
  <si>
    <t>SLR-OP-C02-505</t>
  </si>
  <si>
    <t>SLW-8011-B2-31</t>
  </si>
  <si>
    <t>VAL-V3-207-SV-G</t>
  </si>
  <si>
    <t>VAL-V3-208-SV-G</t>
  </si>
  <si>
    <t>VAL-V3-209-SV-G</t>
  </si>
  <si>
    <t>VAL-V3-239-TN-A</t>
  </si>
  <si>
    <t>VAL-V3-256-TN-B</t>
  </si>
  <si>
    <t>10 &amp; 9 Years</t>
  </si>
  <si>
    <t>SLW-8011-B2-32</t>
  </si>
  <si>
    <t>SLR-OP-A04-511</t>
  </si>
  <si>
    <t>PC1-A3-08-SA-33</t>
  </si>
  <si>
    <t>PC1-A4-01-SA-11</t>
  </si>
  <si>
    <t>SLN-TW-498-B</t>
  </si>
  <si>
    <t>MONOS-TWIN-LEFT</t>
  </si>
  <si>
    <t>PC1-A4-03-LB-42</t>
  </si>
  <si>
    <t>SLR-OP-C02-305</t>
  </si>
  <si>
    <t>VAL-V1-009-TH-A</t>
  </si>
  <si>
    <t>V1</t>
  </si>
  <si>
    <t>Townhouse Corner</t>
  </si>
  <si>
    <t>TH-A</t>
  </si>
  <si>
    <t>VAL-V1-009-TH-B</t>
  </si>
  <si>
    <t>Townhouse Middle</t>
  </si>
  <si>
    <t>TH-B</t>
  </si>
  <si>
    <t>VAL-V1-009-TH-C</t>
  </si>
  <si>
    <t>TH-C</t>
  </si>
  <si>
    <t>VAL-V1-022-TH-B</t>
  </si>
  <si>
    <t>VAL-V1-035-TH-B</t>
  </si>
  <si>
    <t>VAL-V1-061-TH-A</t>
  </si>
  <si>
    <t>VAL-V1-061-TH-C</t>
  </si>
  <si>
    <t>VAL-V1-061-TH-D</t>
  </si>
  <si>
    <t>TH-D</t>
  </si>
  <si>
    <t>V2</t>
  </si>
  <si>
    <t>VAL-V2-158-TH-B</t>
  </si>
  <si>
    <t>Townhouse B</t>
  </si>
  <si>
    <t>VAL-V2-159-TH-C</t>
  </si>
  <si>
    <t>Townhouse C</t>
  </si>
  <si>
    <t>VAL-V2-163-TH-C</t>
  </si>
  <si>
    <t>Townhouse 4 Middle</t>
  </si>
  <si>
    <t>SLW-8003-B2-21</t>
  </si>
  <si>
    <t>VAL-V3-285-TF-C</t>
  </si>
  <si>
    <t>TF-C</t>
  </si>
  <si>
    <t>VAL-V3-241-TN-A</t>
  </si>
  <si>
    <t>SLR-OP-C02-209</t>
  </si>
  <si>
    <t>PC1-A6-04-SA-52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</si>
</sst>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&quot;EGP&quot;\ #,##0.00;&quot;EGP&quot;\ \-#,##0.00"/>
    <numFmt numFmtId="166" formatCode="#,##0.0"/>
  </numFmts>
  <fonts count="6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20"/>
      <color theme="0"/>
      <name val="Arial"/>
      <family val="2"/>
    </font>
    <font>
      <sz val="12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7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2"/>
      <name val="Calibri"/>
      <family val="2"/>
    </font>
    <font>
      <b/>
      <sz val="12"/>
      <color rgb="FFFFFFFF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6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theme="0"/>
      <name val="Calibri"/>
      <family val="2"/>
    </font>
    <font>
      <b/>
      <sz val="12"/>
      <name val="Arial"/>
      <family val="2"/>
    </font>
    <font>
      <b/>
      <sz val="28"/>
      <color rgb="FFFFFFFF"/>
      <name val="Calibri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6"/>
      <color theme="0"/>
      <name val="Calibri"/>
      <family val="2"/>
    </font>
    <font>
      <b/>
      <sz val="2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5" tint="-0.499984740745262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3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7"/>
      <color rgb="FFFF00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rgb="FFFFFFFF"/>
      <name val="Arial"/>
      <family val="2"/>
    </font>
    <font>
      <b/>
      <sz val="20"/>
      <color rgb="FFFFFFFF"/>
      <name val="Calibri"/>
      <family val="2"/>
    </font>
    <font>
      <b/>
      <sz val="22"/>
      <color rgb="FFFFFFFF"/>
      <name val="Calibri"/>
      <family val="2"/>
    </font>
    <font>
      <b/>
      <sz val="18"/>
      <color theme="0"/>
      <name val="Calibri"/>
      <family val="2"/>
    </font>
    <font>
      <b/>
      <sz val="18"/>
      <color rgb="FFFFFFFF"/>
      <name val="Times New Roman"/>
      <family val="1"/>
    </font>
    <font>
      <sz val="10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66666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C00000"/>
        <bgColor indexed="64"/>
      </patternFill>
    </fill>
  </fills>
  <borders count="8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CCCCCC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rgb="FFCCCCCC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FFFF"/>
      </left>
      <right/>
      <top style="thick">
        <color rgb="FF00FFFF"/>
      </top>
      <bottom/>
      <diagonal/>
    </border>
    <border>
      <left/>
      <right style="thick">
        <color rgb="FF00FFFF"/>
      </right>
      <top style="thick">
        <color rgb="FF00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thick">
        <color rgb="FF00FFFF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double">
        <color indexed="64"/>
      </right>
      <top style="medium">
        <color rgb="FFCCCCCC"/>
      </top>
      <bottom style="medium">
        <color rgb="FFCCCCCC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52" fillId="0" borderId="0"/>
    <xf numFmtId="0" fontId="34" fillId="0" borderId="0"/>
  </cellStyleXfs>
  <cellXfs count="352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4" fontId="4" fillId="3" borderId="11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43" fontId="9" fillId="2" borderId="18" xfId="0" applyNumberFormat="1" applyFont="1" applyFill="1" applyBorder="1" applyAlignment="1">
      <alignment horizontal="center" vertical="center" wrapText="1"/>
    </xf>
    <xf numFmtId="4" fontId="9" fillId="2" borderId="19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/>
    </xf>
    <xf numFmtId="4" fontId="9" fillId="3" borderId="16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" fontId="9" fillId="3" borderId="11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4" fontId="9" fillId="0" borderId="11" xfId="0" applyNumberFormat="1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4" fontId="9" fillId="2" borderId="16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4" fontId="9" fillId="0" borderId="18" xfId="0" applyNumberFormat="1" applyFont="1" applyBorder="1" applyAlignment="1">
      <alignment horizontal="center" vertical="center" wrapText="1"/>
    </xf>
    <xf numFmtId="4" fontId="9" fillId="2" borderId="18" xfId="0" applyNumberFormat="1" applyFont="1" applyFill="1" applyBorder="1" applyAlignment="1">
      <alignment horizontal="center" vertical="center" wrapText="1"/>
    </xf>
    <xf numFmtId="4" fontId="9" fillId="2" borderId="11" xfId="0" applyNumberFormat="1" applyFont="1" applyFill="1" applyBorder="1" applyAlignment="1">
      <alignment horizontal="center" vertical="center" wrapText="1"/>
    </xf>
    <xf numFmtId="4" fontId="9" fillId="0" borderId="11" xfId="0" applyNumberFormat="1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wrapText="1"/>
    </xf>
    <xf numFmtId="4" fontId="9" fillId="2" borderId="11" xfId="0" applyNumberFormat="1" applyFont="1" applyFill="1" applyBorder="1" applyAlignment="1">
      <alignment horizontal="center" wrapText="1"/>
    </xf>
    <xf numFmtId="0" fontId="0" fillId="0" borderId="11" xfId="0" applyBorder="1"/>
    <xf numFmtId="0" fontId="0" fillId="0" borderId="20" xfId="0" applyBorder="1" applyAlignment="1">
      <alignment wrapText="1"/>
    </xf>
    <xf numFmtId="0" fontId="11" fillId="6" borderId="11" xfId="0" applyFont="1" applyFill="1" applyBorder="1" applyAlignment="1">
      <alignment horizontal="center" wrapText="1"/>
    </xf>
    <xf numFmtId="0" fontId="13" fillId="3" borderId="11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" fontId="9" fillId="3" borderId="11" xfId="0" applyNumberFormat="1" applyFont="1" applyFill="1" applyBorder="1" applyAlignment="1">
      <alignment horizontal="center" vertical="center"/>
    </xf>
    <xf numFmtId="4" fontId="4" fillId="3" borderId="16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8" fillId="7" borderId="18" xfId="0" applyFont="1" applyFill="1" applyBorder="1" applyAlignment="1">
      <alignment horizontal="center" vertical="center"/>
    </xf>
    <xf numFmtId="4" fontId="18" fillId="7" borderId="19" xfId="0" applyNumberFormat="1" applyFont="1" applyFill="1" applyBorder="1" applyAlignment="1">
      <alignment horizontal="center" vertical="center"/>
    </xf>
    <xf numFmtId="4" fontId="19" fillId="7" borderId="19" xfId="0" applyNumberFormat="1" applyFont="1" applyFill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/>
    </xf>
    <xf numFmtId="4" fontId="16" fillId="7" borderId="0" xfId="0" applyNumberFormat="1" applyFont="1" applyFill="1" applyAlignment="1">
      <alignment horizontal="center" vertical="center"/>
    </xf>
    <xf numFmtId="4" fontId="13" fillId="3" borderId="16" xfId="0" applyNumberFormat="1" applyFont="1" applyFill="1" applyBorder="1" applyAlignment="1">
      <alignment horizontal="center" vertical="center" wrapText="1"/>
    </xf>
    <xf numFmtId="43" fontId="0" fillId="0" borderId="0" xfId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21" xfId="0" applyFont="1" applyBorder="1" applyAlignment="1">
      <alignment vertical="center" wrapText="1"/>
    </xf>
    <xf numFmtId="0" fontId="16" fillId="7" borderId="11" xfId="0" applyFont="1" applyFill="1" applyBorder="1" applyAlignment="1">
      <alignment horizontal="center" vertical="center"/>
    </xf>
    <xf numFmtId="4" fontId="16" fillId="7" borderId="11" xfId="0" applyNumberFormat="1" applyFont="1" applyFill="1" applyBorder="1" applyAlignment="1">
      <alignment horizontal="center" vertical="center" wrapText="1"/>
    </xf>
    <xf numFmtId="3" fontId="17" fillId="7" borderId="1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2" fillId="3" borderId="11" xfId="0" applyFont="1" applyFill="1" applyBorder="1" applyAlignment="1">
      <alignment horizontal="center" vertical="center" wrapText="1"/>
    </xf>
    <xf numFmtId="4" fontId="22" fillId="3" borderId="11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1" fillId="6" borderId="16" xfId="0" applyFont="1" applyFill="1" applyBorder="1" applyAlignment="1">
      <alignment horizontal="center" wrapText="1"/>
    </xf>
    <xf numFmtId="0" fontId="19" fillId="6" borderId="11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4" fontId="23" fillId="3" borderId="11" xfId="0" applyNumberFormat="1" applyFont="1" applyFill="1" applyBorder="1" applyAlignment="1">
      <alignment horizontal="center" vertical="center" wrapText="1"/>
    </xf>
    <xf numFmtId="9" fontId="14" fillId="6" borderId="11" xfId="0" applyNumberFormat="1" applyFont="1" applyFill="1" applyBorder="1" applyAlignment="1">
      <alignment horizontal="center" vertical="center" wrapText="1"/>
    </xf>
    <xf numFmtId="0" fontId="25" fillId="8" borderId="0" xfId="0" applyFont="1" applyFill="1" applyAlignment="1">
      <alignment horizontal="left"/>
    </xf>
    <xf numFmtId="165" fontId="25" fillId="8" borderId="0" xfId="0" applyNumberFormat="1" applyFont="1" applyFill="1" applyAlignment="1">
      <alignment horizontal="right"/>
    </xf>
    <xf numFmtId="0" fontId="25" fillId="8" borderId="0" xfId="0" applyFont="1" applyFill="1" applyAlignment="1">
      <alignment horizontal="right"/>
    </xf>
    <xf numFmtId="0" fontId="25" fillId="8" borderId="0" xfId="0" applyFont="1" applyFill="1" applyAlignment="1">
      <alignment horizontal="center"/>
    </xf>
    <xf numFmtId="0" fontId="22" fillId="2" borderId="11" xfId="0" applyFont="1" applyFill="1" applyBorder="1" applyAlignment="1">
      <alignment horizontal="center" vertical="center" wrapText="1"/>
    </xf>
    <xf numFmtId="43" fontId="22" fillId="2" borderId="11" xfId="1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4" fontId="28" fillId="7" borderId="19" xfId="0" applyNumberFormat="1" applyFont="1" applyFill="1" applyBorder="1" applyAlignment="1">
      <alignment horizontal="center" vertical="center" wrapText="1"/>
    </xf>
    <xf numFmtId="4" fontId="22" fillId="2" borderId="11" xfId="0" applyNumberFormat="1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43" fontId="29" fillId="6" borderId="13" xfId="1" applyFont="1" applyFill="1" applyBorder="1" applyAlignment="1">
      <alignment horizontal="center" vertical="center" wrapText="1"/>
    </xf>
    <xf numFmtId="0" fontId="29" fillId="6" borderId="14" xfId="0" applyFont="1" applyFill="1" applyBorder="1" applyAlignment="1">
      <alignment horizontal="center" vertical="center" wrapText="1"/>
    </xf>
    <xf numFmtId="2" fontId="9" fillId="2" borderId="11" xfId="0" applyNumberFormat="1" applyFont="1" applyFill="1" applyBorder="1" applyAlignment="1">
      <alignment horizontal="center" vertical="center" wrapText="1"/>
    </xf>
    <xf numFmtId="2" fontId="4" fillId="3" borderId="11" xfId="0" applyNumberFormat="1" applyFont="1" applyFill="1" applyBorder="1" applyAlignment="1">
      <alignment horizontal="center" vertical="center" wrapText="1"/>
    </xf>
    <xf numFmtId="2" fontId="22" fillId="2" borderId="11" xfId="0" applyNumberFormat="1" applyFont="1" applyFill="1" applyBorder="1" applyAlignment="1">
      <alignment horizontal="center" vertical="center" wrapText="1"/>
    </xf>
    <xf numFmtId="0" fontId="31" fillId="3" borderId="11" xfId="0" applyFont="1" applyFill="1" applyBorder="1" applyAlignment="1">
      <alignment horizontal="center" vertical="center" wrapText="1"/>
    </xf>
    <xf numFmtId="4" fontId="31" fillId="3" borderId="16" xfId="0" applyNumberFormat="1" applyFont="1" applyFill="1" applyBorder="1" applyAlignment="1">
      <alignment horizontal="center" vertical="center" wrapText="1"/>
    </xf>
    <xf numFmtId="43" fontId="9" fillId="2" borderId="11" xfId="1" applyFont="1" applyFill="1" applyBorder="1" applyAlignment="1">
      <alignment horizontal="center" vertical="center" wrapText="1"/>
    </xf>
    <xf numFmtId="0" fontId="33" fillId="6" borderId="13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33" fillId="6" borderId="13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9" fillId="7" borderId="3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4" fontId="3" fillId="2" borderId="11" xfId="0" applyNumberFormat="1" applyFont="1" applyFill="1" applyBorder="1" applyAlignment="1">
      <alignment horizontal="center" vertical="center" wrapText="1"/>
    </xf>
    <xf numFmtId="0" fontId="35" fillId="0" borderId="0" xfId="2" applyFont="1" applyAlignment="1">
      <alignment wrapText="1"/>
    </xf>
    <xf numFmtId="0" fontId="35" fillId="0" borderId="0" xfId="3" applyFont="1" applyAlignment="1">
      <alignment wrapText="1"/>
    </xf>
    <xf numFmtId="0" fontId="32" fillId="2" borderId="13" xfId="0" applyFont="1" applyFill="1" applyBorder="1" applyAlignment="1">
      <alignment horizontal="center" vertical="center" wrapText="1"/>
    </xf>
    <xf numFmtId="3" fontId="32" fillId="2" borderId="13" xfId="0" applyNumberFormat="1" applyFont="1" applyFill="1" applyBorder="1" applyAlignment="1">
      <alignment horizontal="center" vertical="center" wrapText="1"/>
    </xf>
    <xf numFmtId="4" fontId="3" fillId="3" borderId="27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4" fontId="13" fillId="2" borderId="11" xfId="0" applyNumberFormat="1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 wrapText="1"/>
    </xf>
    <xf numFmtId="0" fontId="37" fillId="2" borderId="0" xfId="0" applyFont="1" applyFill="1" applyAlignment="1">
      <alignment horizontal="center" wrapText="1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8" fillId="9" borderId="0" xfId="0" applyFont="1" applyFill="1" applyAlignment="1">
      <alignment horizontal="center" wrapText="1"/>
    </xf>
    <xf numFmtId="0" fontId="4" fillId="3" borderId="17" xfId="0" applyFont="1" applyFill="1" applyBorder="1" applyAlignment="1">
      <alignment horizontal="center" vertical="center" wrapText="1"/>
    </xf>
    <xf numFmtId="4" fontId="4" fillId="2" borderId="19" xfId="0" applyNumberFormat="1" applyFont="1" applyFill="1" applyBorder="1" applyAlignment="1">
      <alignment horizontal="center" vertical="center" wrapText="1"/>
    </xf>
    <xf numFmtId="4" fontId="13" fillId="3" borderId="18" xfId="0" applyNumberFormat="1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4" fontId="31" fillId="3" borderId="19" xfId="0" applyNumberFormat="1" applyFont="1" applyFill="1" applyBorder="1" applyAlignment="1">
      <alignment horizontal="center" vertical="center" wrapText="1"/>
    </xf>
    <xf numFmtId="4" fontId="9" fillId="3" borderId="0" xfId="0" applyNumberFormat="1" applyFont="1" applyFill="1" applyAlignment="1">
      <alignment horizontal="center" vertical="center"/>
    </xf>
    <xf numFmtId="4" fontId="17" fillId="7" borderId="11" xfId="0" applyNumberFormat="1" applyFont="1" applyFill="1" applyBorder="1" applyAlignment="1">
      <alignment horizontal="center" vertical="center"/>
    </xf>
    <xf numFmtId="2" fontId="39" fillId="2" borderId="11" xfId="0" applyNumberFormat="1" applyFont="1" applyFill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9" fontId="11" fillId="6" borderId="16" xfId="0" applyNumberFormat="1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43" fontId="40" fillId="12" borderId="13" xfId="1" applyFont="1" applyFill="1" applyBorder="1" applyAlignment="1">
      <alignment horizontal="center" vertical="center" wrapText="1"/>
    </xf>
    <xf numFmtId="43" fontId="3" fillId="2" borderId="11" xfId="1" applyFont="1" applyFill="1" applyBorder="1" applyAlignment="1">
      <alignment horizontal="center" vertical="center" wrapText="1"/>
    </xf>
    <xf numFmtId="43" fontId="41" fillId="7" borderId="13" xfId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wrapText="1"/>
    </xf>
    <xf numFmtId="4" fontId="32" fillId="2" borderId="15" xfId="0" applyNumberFormat="1" applyFont="1" applyFill="1" applyBorder="1" applyAlignment="1">
      <alignment horizontal="center" vertical="center" wrapText="1"/>
    </xf>
    <xf numFmtId="4" fontId="42" fillId="3" borderId="16" xfId="0" applyNumberFormat="1" applyFont="1" applyFill="1" applyBorder="1" applyAlignment="1">
      <alignment horizontal="center" vertical="center" wrapText="1"/>
    </xf>
    <xf numFmtId="0" fontId="36" fillId="7" borderId="11" xfId="0" applyFont="1" applyFill="1" applyBorder="1" applyAlignment="1">
      <alignment horizontal="center" vertical="center"/>
    </xf>
    <xf numFmtId="0" fontId="43" fillId="3" borderId="0" xfId="0" applyFont="1" applyFill="1" applyAlignment="1">
      <alignment vertical="center" wrapText="1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44" fillId="14" borderId="43" xfId="0" applyFont="1" applyFill="1" applyBorder="1" applyAlignment="1">
      <alignment horizontal="center" vertical="center" wrapText="1"/>
    </xf>
    <xf numFmtId="0" fontId="45" fillId="14" borderId="44" xfId="0" applyFont="1" applyFill="1" applyBorder="1" applyAlignment="1">
      <alignment horizontal="center" vertical="center" wrapText="1"/>
    </xf>
    <xf numFmtId="0" fontId="17" fillId="7" borderId="46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4" fontId="3" fillId="2" borderId="13" xfId="0" applyNumberFormat="1" applyFont="1" applyFill="1" applyBorder="1" applyAlignment="1">
      <alignment horizontal="center" vertical="center" wrapText="1"/>
    </xf>
    <xf numFmtId="0" fontId="35" fillId="15" borderId="0" xfId="4" applyFont="1" applyFill="1" applyAlignment="1">
      <alignment horizontal="center"/>
    </xf>
    <xf numFmtId="0" fontId="35" fillId="0" borderId="0" xfId="4" applyFont="1" applyAlignment="1">
      <alignment wrapText="1"/>
    </xf>
    <xf numFmtId="3" fontId="0" fillId="0" borderId="0" xfId="0" applyNumberFormat="1"/>
    <xf numFmtId="4" fontId="0" fillId="0" borderId="0" xfId="0" applyNumberFormat="1"/>
    <xf numFmtId="0" fontId="35" fillId="0" borderId="47" xfId="4" applyFont="1" applyBorder="1" applyAlignment="1">
      <alignment wrapText="1"/>
    </xf>
    <xf numFmtId="0" fontId="47" fillId="14" borderId="45" xfId="0" applyFont="1" applyFill="1" applyBorder="1" applyAlignment="1">
      <alignment horizontal="center" vertical="center" wrapText="1"/>
    </xf>
    <xf numFmtId="9" fontId="47" fillId="14" borderId="45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4" fontId="4" fillId="2" borderId="11" xfId="0" applyNumberFormat="1" applyFont="1" applyFill="1" applyBorder="1" applyAlignment="1">
      <alignment horizontal="center" vertical="center"/>
    </xf>
    <xf numFmtId="4" fontId="36" fillId="7" borderId="11" xfId="0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51" fillId="0" borderId="0" xfId="0" applyFont="1"/>
    <xf numFmtId="0" fontId="35" fillId="0" borderId="47" xfId="5" applyFont="1" applyBorder="1" applyAlignment="1">
      <alignment wrapText="1"/>
    </xf>
    <xf numFmtId="1" fontId="39" fillId="2" borderId="11" xfId="0" applyNumberFormat="1" applyFont="1" applyFill="1" applyBorder="1" applyAlignment="1">
      <alignment horizontal="center" vertical="center" wrapText="1"/>
    </xf>
    <xf numFmtId="0" fontId="53" fillId="15" borderId="48" xfId="6" applyFont="1" applyFill="1" applyBorder="1" applyAlignment="1">
      <alignment horizontal="center"/>
    </xf>
    <xf numFmtId="0" fontId="53" fillId="0" borderId="47" xfId="6" applyFont="1" applyBorder="1" applyAlignment="1">
      <alignment wrapText="1"/>
    </xf>
    <xf numFmtId="4" fontId="39" fillId="2" borderId="11" xfId="1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9" fillId="3" borderId="11" xfId="0" applyFont="1" applyFill="1" applyBorder="1" applyAlignment="1">
      <alignment horizontal="center" vertical="center" wrapText="1"/>
    </xf>
    <xf numFmtId="1" fontId="39" fillId="3" borderId="11" xfId="0" applyNumberFormat="1" applyFont="1" applyFill="1" applyBorder="1" applyAlignment="1">
      <alignment horizontal="center" vertical="center" wrapText="1"/>
    </xf>
    <xf numFmtId="4" fontId="39" fillId="3" borderId="11" xfId="1" applyNumberFormat="1" applyFont="1" applyFill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center" vertical="center" wrapText="1"/>
    </xf>
    <xf numFmtId="0" fontId="29" fillId="6" borderId="51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4" fontId="50" fillId="12" borderId="53" xfId="0" applyNumberFormat="1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48" fillId="7" borderId="55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4" fontId="36" fillId="7" borderId="55" xfId="0" applyNumberFormat="1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 wrapText="1"/>
    </xf>
    <xf numFmtId="0" fontId="48" fillId="7" borderId="1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4" fontId="13" fillId="2" borderId="57" xfId="0" applyNumberFormat="1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32" fillId="2" borderId="55" xfId="0" applyFont="1" applyFill="1" applyBorder="1" applyAlignment="1">
      <alignment horizontal="center" vertical="center" wrapText="1"/>
    </xf>
    <xf numFmtId="3" fontId="32" fillId="2" borderId="55" xfId="0" applyNumberFormat="1" applyFont="1" applyFill="1" applyBorder="1" applyAlignment="1">
      <alignment horizontal="center" vertical="center" wrapText="1"/>
    </xf>
    <xf numFmtId="4" fontId="28" fillId="7" borderId="65" xfId="0" applyNumberFormat="1" applyFont="1" applyFill="1" applyBorder="1" applyAlignment="1">
      <alignment horizontal="center" vertical="center" wrapText="1"/>
    </xf>
    <xf numFmtId="4" fontId="3" fillId="3" borderId="66" xfId="0" applyNumberFormat="1" applyFont="1" applyFill="1" applyBorder="1" applyAlignment="1">
      <alignment horizontal="center" vertical="center" wrapText="1"/>
    </xf>
    <xf numFmtId="9" fontId="2" fillId="6" borderId="59" xfId="0" applyNumberFormat="1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wrapText="1"/>
    </xf>
    <xf numFmtId="0" fontId="3" fillId="2" borderId="61" xfId="0" applyFont="1" applyFill="1" applyBorder="1" applyAlignment="1">
      <alignment horizontal="center" wrapText="1"/>
    </xf>
    <xf numFmtId="0" fontId="19" fillId="7" borderId="62" xfId="0" applyFont="1" applyFill="1" applyBorder="1" applyAlignment="1">
      <alignment horizontal="center" vertical="center" wrapText="1"/>
    </xf>
    <xf numFmtId="0" fontId="3" fillId="0" borderId="62" xfId="0" applyFont="1" applyBorder="1" applyAlignment="1">
      <alignment horizontal="center" wrapText="1"/>
    </xf>
    <xf numFmtId="4" fontId="28" fillId="7" borderId="62" xfId="0" applyNumberFormat="1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wrapText="1"/>
    </xf>
    <xf numFmtId="0" fontId="11" fillId="6" borderId="67" xfId="0" applyFont="1" applyFill="1" applyBorder="1" applyAlignment="1">
      <alignment horizontal="center" vertical="center" wrapText="1"/>
    </xf>
    <xf numFmtId="9" fontId="11" fillId="6" borderId="57" xfId="0" applyNumberFormat="1" applyFont="1" applyFill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43" fontId="4" fillId="3" borderId="57" xfId="1" applyFont="1" applyFill="1" applyBorder="1" applyAlignment="1">
      <alignment vertical="center" wrapText="1"/>
    </xf>
    <xf numFmtId="0" fontId="9" fillId="2" borderId="69" xfId="0" applyFont="1" applyFill="1" applyBorder="1" applyAlignment="1">
      <alignment horizontal="center" vertical="center" wrapText="1"/>
    </xf>
    <xf numFmtId="0" fontId="36" fillId="7" borderId="62" xfId="0" applyFont="1" applyFill="1" applyBorder="1" applyAlignment="1">
      <alignment horizontal="center" vertical="center" wrapText="1"/>
    </xf>
    <xf numFmtId="0" fontId="9" fillId="2" borderId="70" xfId="0" applyFont="1" applyFill="1" applyBorder="1" applyAlignment="1">
      <alignment vertical="center" wrapText="1"/>
    </xf>
    <xf numFmtId="0" fontId="9" fillId="2" borderId="71" xfId="0" applyFont="1" applyFill="1" applyBorder="1" applyAlignment="1">
      <alignment vertical="center" wrapText="1"/>
    </xf>
    <xf numFmtId="4" fontId="17" fillId="7" borderId="62" xfId="0" applyNumberFormat="1" applyFont="1" applyFill="1" applyBorder="1" applyAlignment="1">
      <alignment horizontal="center" vertical="center" wrapText="1"/>
    </xf>
    <xf numFmtId="0" fontId="0" fillId="0" borderId="72" xfId="0" applyBorder="1" applyAlignment="1">
      <alignment horizontal="center" vertical="center"/>
    </xf>
    <xf numFmtId="0" fontId="35" fillId="0" borderId="0" xfId="7" applyFont="1" applyAlignment="1">
      <alignment wrapText="1"/>
    </xf>
    <xf numFmtId="4" fontId="30" fillId="3" borderId="11" xfId="0" applyNumberFormat="1" applyFont="1" applyFill="1" applyBorder="1" applyAlignment="1">
      <alignment horizontal="center" vertical="center" wrapText="1"/>
    </xf>
    <xf numFmtId="4" fontId="30" fillId="3" borderId="57" xfId="0" applyNumberFormat="1" applyFont="1" applyFill="1" applyBorder="1" applyAlignment="1">
      <alignment horizontal="center" vertical="center" wrapText="1"/>
    </xf>
    <xf numFmtId="4" fontId="32" fillId="2" borderId="11" xfId="0" applyNumberFormat="1" applyFont="1" applyFill="1" applyBorder="1" applyAlignment="1">
      <alignment horizontal="center" vertical="center" wrapText="1"/>
    </xf>
    <xf numFmtId="4" fontId="32" fillId="2" borderId="57" xfId="0" applyNumberFormat="1" applyFont="1" applyFill="1" applyBorder="1" applyAlignment="1">
      <alignment horizontal="center" vertical="center" wrapText="1"/>
    </xf>
    <xf numFmtId="4" fontId="32" fillId="2" borderId="18" xfId="0" applyNumberFormat="1" applyFont="1" applyFill="1" applyBorder="1" applyAlignment="1">
      <alignment horizontal="center" vertical="center" wrapText="1"/>
    </xf>
    <xf numFmtId="4" fontId="32" fillId="2" borderId="60" xfId="0" applyNumberFormat="1" applyFont="1" applyFill="1" applyBorder="1" applyAlignment="1">
      <alignment horizontal="center" vertical="center" wrapText="1"/>
    </xf>
    <xf numFmtId="4" fontId="39" fillId="2" borderId="11" xfId="0" applyNumberFormat="1" applyFont="1" applyFill="1" applyBorder="1" applyAlignment="1">
      <alignment horizontal="center" vertical="center" wrapText="1"/>
    </xf>
    <xf numFmtId="4" fontId="39" fillId="3" borderId="11" xfId="0" applyNumberFormat="1" applyFont="1" applyFill="1" applyBorder="1" applyAlignment="1">
      <alignment horizontal="center" vertical="center" wrapText="1"/>
    </xf>
    <xf numFmtId="0" fontId="55" fillId="6" borderId="13" xfId="0" applyFont="1" applyFill="1" applyBorder="1" applyAlignment="1">
      <alignment horizontal="center" vertical="center" wrapText="1"/>
    </xf>
    <xf numFmtId="9" fontId="55" fillId="6" borderId="13" xfId="0" applyNumberFormat="1" applyFont="1" applyFill="1" applyBorder="1" applyAlignment="1">
      <alignment horizontal="center" vertical="center" wrapText="1"/>
    </xf>
    <xf numFmtId="0" fontId="56" fillId="6" borderId="13" xfId="0" applyFont="1" applyFill="1" applyBorder="1" applyAlignment="1">
      <alignment horizontal="center" vertical="center" wrapText="1"/>
    </xf>
    <xf numFmtId="9" fontId="56" fillId="6" borderId="13" xfId="0" applyNumberFormat="1" applyFont="1" applyFill="1" applyBorder="1" applyAlignment="1">
      <alignment horizontal="center" vertical="center" wrapText="1"/>
    </xf>
    <xf numFmtId="4" fontId="17" fillId="7" borderId="11" xfId="0" applyNumberFormat="1" applyFont="1" applyFill="1" applyBorder="1" applyAlignment="1">
      <alignment horizontal="center" vertical="center" wrapText="1"/>
    </xf>
    <xf numFmtId="0" fontId="56" fillId="6" borderId="11" xfId="0" applyFont="1" applyFill="1" applyBorder="1" applyAlignment="1">
      <alignment horizontal="center" vertical="center" wrapText="1"/>
    </xf>
    <xf numFmtId="4" fontId="17" fillId="7" borderId="0" xfId="0" applyNumberFormat="1" applyFont="1" applyFill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50" fillId="12" borderId="26" xfId="0" applyNumberFormat="1" applyFont="1" applyFill="1" applyBorder="1" applyAlignment="1">
      <alignment horizontal="center" vertical="center" wrapText="1"/>
    </xf>
    <xf numFmtId="4" fontId="59" fillId="7" borderId="19" xfId="0" applyNumberFormat="1" applyFont="1" applyFill="1" applyBorder="1" applyAlignment="1">
      <alignment horizontal="center" vertical="center" wrapText="1"/>
    </xf>
    <xf numFmtId="0" fontId="35" fillId="15" borderId="48" xfId="5" applyFont="1" applyFill="1" applyBorder="1" applyAlignment="1">
      <alignment horizontal="center" vertical="center"/>
    </xf>
    <xf numFmtId="0" fontId="35" fillId="0" borderId="47" xfId="5" applyFont="1" applyBorder="1" applyAlignment="1">
      <alignment horizontal="center" vertical="center" wrapText="1"/>
    </xf>
    <xf numFmtId="43" fontId="0" fillId="0" borderId="0" xfId="1" applyFont="1"/>
    <xf numFmtId="164" fontId="0" fillId="0" borderId="0" xfId="0" applyNumberFormat="1"/>
    <xf numFmtId="4" fontId="36" fillId="7" borderId="11" xfId="0" applyNumberFormat="1" applyFont="1" applyFill="1" applyBorder="1" applyAlignment="1">
      <alignment horizontal="center" vertical="center"/>
    </xf>
    <xf numFmtId="0" fontId="0" fillId="0" borderId="28" xfId="0" applyBorder="1"/>
    <xf numFmtId="0" fontId="3" fillId="2" borderId="14" xfId="0" applyFont="1" applyFill="1" applyBorder="1" applyAlignment="1">
      <alignment horizontal="center" vertical="center" wrapText="1"/>
    </xf>
    <xf numFmtId="4" fontId="54" fillId="7" borderId="73" xfId="0" applyNumberFormat="1" applyFont="1" applyFill="1" applyBorder="1" applyAlignment="1">
      <alignment horizontal="center" vertical="center"/>
    </xf>
    <xf numFmtId="4" fontId="0" fillId="0" borderId="42" xfId="0" applyNumberFormat="1" applyBorder="1" applyAlignment="1">
      <alignment horizontal="center" vertical="center"/>
    </xf>
    <xf numFmtId="43" fontId="17" fillId="7" borderId="46" xfId="1" applyFon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4" fontId="32" fillId="12" borderId="13" xfId="0" applyNumberFormat="1" applyFont="1" applyFill="1" applyBorder="1" applyAlignment="1">
      <alignment horizontal="center" vertical="center" wrapText="1"/>
    </xf>
    <xf numFmtId="4" fontId="32" fillId="12" borderId="11" xfId="0" applyNumberFormat="1" applyFont="1" applyFill="1" applyBorder="1" applyAlignment="1">
      <alignment horizontal="center" vertical="center" wrapText="1"/>
    </xf>
    <xf numFmtId="4" fontId="9" fillId="2" borderId="0" xfId="0" applyNumberFormat="1" applyFont="1" applyFill="1" applyAlignment="1">
      <alignment horizontal="center" wrapText="1"/>
    </xf>
    <xf numFmtId="0" fontId="1" fillId="17" borderId="0" xfId="0" applyFont="1" applyFill="1" applyAlignment="1">
      <alignment wrapText="1"/>
    </xf>
    <xf numFmtId="0" fontId="32" fillId="12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66" fontId="3" fillId="2" borderId="11" xfId="0" applyNumberFormat="1" applyFont="1" applyFill="1" applyBorder="1" applyAlignment="1">
      <alignment horizontal="center" vertical="center" wrapText="1"/>
    </xf>
    <xf numFmtId="0" fontId="36" fillId="7" borderId="11" xfId="0" applyFont="1" applyFill="1" applyBorder="1" applyAlignment="1">
      <alignment horizontal="center" vertical="center" wrapText="1"/>
    </xf>
    <xf numFmtId="0" fontId="64" fillId="7" borderId="33" xfId="0" applyFont="1" applyFill="1" applyBorder="1" applyAlignment="1">
      <alignment horizontal="center" vertical="center" wrapText="1"/>
    </xf>
    <xf numFmtId="4" fontId="59" fillId="7" borderId="24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4" fontId="4" fillId="2" borderId="11" xfId="0" applyNumberFormat="1" applyFont="1" applyFill="1" applyBorder="1" applyAlignment="1">
      <alignment horizontal="center" vertical="center" wrapText="1"/>
    </xf>
    <xf numFmtId="4" fontId="13" fillId="3" borderId="11" xfId="0" applyNumberFormat="1" applyFont="1" applyFill="1" applyBorder="1" applyAlignment="1">
      <alignment horizontal="center" vertical="center" wrapText="1"/>
    </xf>
    <xf numFmtId="4" fontId="15" fillId="2" borderId="11" xfId="0" applyNumberFormat="1" applyFont="1" applyFill="1" applyBorder="1" applyAlignment="1">
      <alignment horizontal="center" vertical="center" wrapText="1"/>
    </xf>
    <xf numFmtId="4" fontId="31" fillId="2" borderId="11" xfId="0" applyNumberFormat="1" applyFont="1" applyFill="1" applyBorder="1" applyAlignment="1">
      <alignment horizontal="center" vertical="center" wrapText="1"/>
    </xf>
    <xf numFmtId="0" fontId="1" fillId="0" borderId="21" xfId="0" applyFont="1" applyBorder="1" applyAlignment="1">
      <alignment wrapText="1"/>
    </xf>
    <xf numFmtId="0" fontId="66" fillId="19" borderId="79" xfId="0" applyFont="1" applyFill="1" applyBorder="1" applyAlignment="1">
      <alignment horizontal="center" wrapText="1"/>
    </xf>
    <xf numFmtId="0" fontId="66" fillId="19" borderId="80" xfId="0" applyFont="1" applyFill="1" applyBorder="1" applyAlignment="1">
      <alignment horizontal="center" wrapText="1"/>
    </xf>
    <xf numFmtId="0" fontId="3" fillId="2" borderId="79" xfId="0" applyFont="1" applyFill="1" applyBorder="1" applyAlignment="1">
      <alignment horizontal="center" wrapText="1"/>
    </xf>
    <xf numFmtId="0" fontId="3" fillId="2" borderId="80" xfId="0" applyFont="1" applyFill="1" applyBorder="1" applyAlignment="1">
      <alignment horizontal="center" wrapText="1"/>
    </xf>
    <xf numFmtId="4" fontId="3" fillId="2" borderId="80" xfId="0" applyNumberFormat="1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6" fillId="7" borderId="11" xfId="0" applyFont="1" applyFill="1" applyBorder="1" applyAlignment="1">
      <alignment horizontal="center" wrapText="1"/>
    </xf>
    <xf numFmtId="4" fontId="36" fillId="7" borderId="19" xfId="0" applyNumberFormat="1" applyFont="1" applyFill="1" applyBorder="1" applyAlignment="1">
      <alignment horizontal="center" vertical="center"/>
    </xf>
    <xf numFmtId="0" fontId="3" fillId="2" borderId="80" xfId="0" applyFont="1" applyFill="1" applyBorder="1" applyAlignment="1">
      <alignment horizontal="center" vertical="center" wrapText="1"/>
    </xf>
    <xf numFmtId="0" fontId="43" fillId="13" borderId="35" xfId="0" applyFont="1" applyFill="1" applyBorder="1" applyAlignment="1">
      <alignment horizontal="center" vertical="center" wrapText="1"/>
    </xf>
    <xf numFmtId="0" fontId="43" fillId="13" borderId="28" xfId="0" applyFont="1" applyFill="1" applyBorder="1" applyAlignment="1">
      <alignment horizontal="center" vertical="center" wrapText="1"/>
    </xf>
    <xf numFmtId="0" fontId="43" fillId="13" borderId="29" xfId="0" applyFont="1" applyFill="1" applyBorder="1" applyAlignment="1">
      <alignment horizontal="center" vertical="center" wrapText="1"/>
    </xf>
    <xf numFmtId="0" fontId="43" fillId="13" borderId="0" xfId="0" applyFont="1" applyFill="1" applyAlignment="1">
      <alignment horizontal="center" vertical="center" wrapText="1"/>
    </xf>
    <xf numFmtId="0" fontId="43" fillId="13" borderId="37" xfId="0" applyFont="1" applyFill="1" applyBorder="1" applyAlignment="1">
      <alignment horizontal="center" vertical="center" wrapText="1"/>
    </xf>
    <xf numFmtId="0" fontId="43" fillId="13" borderId="38" xfId="0" applyFont="1" applyFill="1" applyBorder="1" applyAlignment="1">
      <alignment horizontal="center" vertical="center" wrapText="1"/>
    </xf>
    <xf numFmtId="0" fontId="46" fillId="10" borderId="40" xfId="0" applyFont="1" applyFill="1" applyBorder="1" applyAlignment="1">
      <alignment horizontal="center" vertical="center" wrapText="1"/>
    </xf>
    <xf numFmtId="0" fontId="46" fillId="10" borderId="41" xfId="0" applyFont="1" applyFill="1" applyBorder="1" applyAlignment="1">
      <alignment horizontal="center" vertical="center" wrapText="1"/>
    </xf>
    <xf numFmtId="0" fontId="43" fillId="3" borderId="28" xfId="0" applyFont="1" applyFill="1" applyBorder="1" applyAlignment="1">
      <alignment horizontal="center" vertical="center" wrapText="1"/>
    </xf>
    <xf numFmtId="0" fontId="43" fillId="3" borderId="38" xfId="0" applyFont="1" applyFill="1" applyBorder="1" applyAlignment="1">
      <alignment horizontal="center" vertical="center" wrapText="1"/>
    </xf>
    <xf numFmtId="0" fontId="60" fillId="6" borderId="19" xfId="0" applyFont="1" applyFill="1" applyBorder="1" applyAlignment="1">
      <alignment horizontal="center" vertical="center" wrapText="1"/>
    </xf>
    <xf numFmtId="0" fontId="60" fillId="6" borderId="23" xfId="0" applyFont="1" applyFill="1" applyBorder="1" applyAlignment="1">
      <alignment horizontal="center" vertical="center" wrapText="1"/>
    </xf>
    <xf numFmtId="0" fontId="60" fillId="6" borderId="24" xfId="0" applyFont="1" applyFill="1" applyBorder="1" applyAlignment="1">
      <alignment horizontal="center" vertical="center" wrapText="1"/>
    </xf>
    <xf numFmtId="0" fontId="60" fillId="6" borderId="0" xfId="0" applyFont="1" applyFill="1" applyAlignment="1">
      <alignment horizontal="center" vertical="center" wrapText="1"/>
    </xf>
    <xf numFmtId="0" fontId="60" fillId="6" borderId="14" xfId="0" applyFont="1" applyFill="1" applyBorder="1" applyAlignment="1">
      <alignment horizontal="center" vertical="center" wrapText="1"/>
    </xf>
    <xf numFmtId="0" fontId="60" fillId="6" borderId="25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62" fillId="6" borderId="29" xfId="0" applyFont="1" applyFill="1" applyBorder="1" applyAlignment="1">
      <alignment horizontal="center" vertical="center" wrapText="1"/>
    </xf>
    <xf numFmtId="0" fontId="62" fillId="6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/>
    </xf>
    <xf numFmtId="0" fontId="61" fillId="20" borderId="42" xfId="0" applyFont="1" applyFill="1" applyBorder="1" applyAlignment="1">
      <alignment horizontal="center" vertical="center" wrapText="1"/>
    </xf>
    <xf numFmtId="0" fontId="63" fillId="6" borderId="29" xfId="0" applyFont="1" applyFill="1" applyBorder="1" applyAlignment="1">
      <alignment horizontal="center" vertical="center" wrapText="1"/>
    </xf>
    <xf numFmtId="0" fontId="63" fillId="6" borderId="0" xfId="0" applyFont="1" applyFill="1" applyAlignment="1">
      <alignment horizontal="center" vertical="center" wrapText="1"/>
    </xf>
    <xf numFmtId="0" fontId="62" fillId="6" borderId="27" xfId="0" applyFont="1" applyFill="1" applyBorder="1" applyAlignment="1">
      <alignment horizontal="center" vertical="center" wrapText="1"/>
    </xf>
    <xf numFmtId="0" fontId="17" fillId="16" borderId="74" xfId="0" applyFont="1" applyFill="1" applyBorder="1" applyAlignment="1">
      <alignment horizontal="center" vertical="center"/>
    </xf>
    <xf numFmtId="0" fontId="17" fillId="16" borderId="75" xfId="0" applyFont="1" applyFill="1" applyBorder="1" applyAlignment="1">
      <alignment horizontal="center" vertical="center"/>
    </xf>
    <xf numFmtId="0" fontId="17" fillId="16" borderId="76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9" fillId="6" borderId="7" xfId="0" applyFont="1" applyFill="1" applyBorder="1" applyAlignment="1">
      <alignment horizontal="center" vertical="center"/>
    </xf>
    <xf numFmtId="0" fontId="49" fillId="6" borderId="8" xfId="0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6" fillId="6" borderId="29" xfId="0" applyFont="1" applyFill="1" applyBorder="1" applyAlignment="1">
      <alignment horizontal="center" vertical="center" wrapText="1"/>
    </xf>
    <xf numFmtId="0" fontId="10" fillId="6" borderId="49" xfId="0" applyFont="1" applyFill="1" applyBorder="1" applyAlignment="1">
      <alignment horizontal="center" vertical="center"/>
    </xf>
    <xf numFmtId="0" fontId="10" fillId="6" borderId="50" xfId="0" applyFont="1" applyFill="1" applyBorder="1" applyAlignment="1">
      <alignment horizontal="center" vertical="center"/>
    </xf>
    <xf numFmtId="0" fontId="10" fillId="6" borderId="51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65" fillId="18" borderId="77" xfId="0" applyFont="1" applyFill="1" applyBorder="1" applyAlignment="1">
      <alignment horizontal="center" vertical="center" wrapText="1"/>
    </xf>
    <xf numFmtId="0" fontId="65" fillId="18" borderId="78" xfId="0" applyFont="1" applyFill="1" applyBorder="1" applyAlignment="1">
      <alignment horizontal="center" vertical="center" wrapText="1"/>
    </xf>
    <xf numFmtId="0" fontId="65" fillId="18" borderId="81" xfId="0" applyFont="1" applyFill="1" applyBorder="1" applyAlignment="1">
      <alignment horizontal="center" vertical="center" wrapText="1"/>
    </xf>
    <xf numFmtId="0" fontId="24" fillId="6" borderId="11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_Park Central" xfId="4" xr:uid="{FE10B36F-01BE-4580-924D-636F5D2A88F5}"/>
    <cellStyle name="Normal_Park Central_1" xfId="6" xr:uid="{6DE7C78D-AD8C-415D-B657-A2EF4DD47532}"/>
    <cellStyle name="Normal_Sheet1" xfId="2" xr:uid="{356B25DD-C06C-4275-A1F2-EE74761C0D37}"/>
    <cellStyle name="Normal_SLR" xfId="3" xr:uid="{F8558A81-B39A-4559-8F69-575162B415F5}"/>
    <cellStyle name="Normal_SLW" xfId="7" xr:uid="{D9174536-960D-45FA-9D04-0D1E5DE1C774}"/>
    <cellStyle name="Normal_The Valleys" xfId="5" xr:uid="{1BA1631F-216F-464B-A48F-FA6B83C92E6C}"/>
  </cellStyles>
  <dxfs count="65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double">
          <color indexed="64"/>
        </left>
        <right style="medium">
          <color indexed="64"/>
        </right>
        <top style="double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double">
          <color indexed="64"/>
        </right>
        <top style="double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ck">
          <color indexed="64"/>
        </right>
        <top style="thick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rgb="FF000000"/>
        </left>
        <right style="thick">
          <color rgb="FF000000"/>
        </right>
        <top style="thick">
          <color rgb="FF000000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ck">
          <color indexed="64"/>
        </right>
        <top/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family val="2"/>
      </font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family val="2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family val="2"/>
      </font>
      <alignment horizontal="center" vertical="center" textRotation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 style="double">
          <color indexed="64"/>
        </horizontal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rgb="FF000000"/>
        </left>
        <right style="thick">
          <color rgb="FF000000"/>
        </right>
        <top style="thick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thick">
          <color rgb="FF000000"/>
        </top>
      </border>
    </dxf>
    <dxf>
      <border diagonalUp="0" diagonalDown="0">
        <left style="thick">
          <color rgb="FF000000"/>
        </left>
        <right style="thick">
          <color rgb="FF000000"/>
        </right>
        <top/>
        <bottom/>
        <vertical style="thick">
          <color rgb="FF000000"/>
        </vertical>
        <horizontal style="thick">
          <color rgb="FF000000"/>
        </horizontal>
      </border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border>
        <top style="thick">
          <color indexed="64"/>
        </top>
      </border>
    </dxf>
    <dxf>
      <alignment horizontal="center" vertical="center" textRotation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thick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strike val="0"/>
        <outline val="0"/>
        <shadow val="0"/>
        <u val="none"/>
        <vertAlign val="baseline"/>
        <sz val="11"/>
        <color theme="1"/>
        <family val="2"/>
      </font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border>
        <top style="thick">
          <color rgb="FF000000"/>
        </top>
      </border>
    </dxf>
    <dxf>
      <alignment horizontal="center" vertical="center" textRotation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/>
        <bottom/>
        <vertical style="thick">
          <color rgb="FF000000"/>
        </vertical>
        <horizontal style="thick">
          <color rgb="FF000000"/>
        </horizontal>
      </border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/>
      </font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border>
        <top style="thick">
          <color rgb="FF000000"/>
        </top>
      </border>
    </dxf>
    <dxf>
      <border diagonalUp="0" diagonalDown="0">
        <left style="thick">
          <color rgb="FF000000"/>
        </left>
        <right style="thick">
          <color rgb="FF000000"/>
        </right>
        <top/>
        <bottom/>
        <vertical style="thick">
          <color rgb="FF000000"/>
        </vertical>
        <horizontal style="thick">
          <color rgb="FF000000"/>
        </horizontal>
      </border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family val="2"/>
      </font>
      <alignment horizontal="center" vertical="center" textRotation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family val="2"/>
      </font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</dxf>
    <dxf>
      <border>
        <bottom style="double">
          <color indexed="64"/>
        </bottom>
      </border>
    </dxf>
    <dxf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EE25A6F-7E16-4270-A945-1621AC011EAB}" name="Table12" displayName="Table12" ref="A4:G6" totalsRowCount="1" headerRowDxfId="658" dataDxfId="656" totalsRowDxfId="654" headerRowBorderDxfId="657" tableBorderDxfId="655" totalsRowBorderDxfId="653">
  <autoFilter ref="A4:G5" xr:uid="{7EE25A6F-7E16-4270-A945-1621AC011EAB}"/>
  <tableColumns count="7">
    <tableColumn id="1" xr3:uid="{9A7F1941-7E32-4E63-9BE4-874B14D2BBA0}" name="No." dataDxfId="652" totalsRowDxfId="651"/>
    <tableColumn id="2" xr3:uid="{8B7EF84E-65BF-4226-99F6-025732DA110D}" name="Unit Name" totalsRowFunction="count" dataDxfId="650" totalsRowDxfId="649"/>
    <tableColumn id="3" xr3:uid="{4A5F1271-DB11-43BA-9199-2285670341C1}" name="Type" dataDxfId="648" totalsRowDxfId="647"/>
    <tableColumn id="4" xr3:uid="{741638D3-760F-4F02-91DF-0DD726907BAC}" name="Land Area" dataDxfId="646" totalsRowDxfId="645"/>
    <tableColumn id="5" xr3:uid="{D7A89D8D-8A81-4032-9440-3AAF6F355AD3}" name="Design Area" dataDxfId="644" totalsRowDxfId="643"/>
    <tableColumn id="6" xr3:uid="{3679E6DB-3678-43F9-B1C6-3C7B1CBB899A}" name="Roof Terrace Area" dataDxfId="642" totalsRowDxfId="641"/>
    <tableColumn id="8" xr3:uid="{4AB6BE09-280E-4457-8885-2847CCA27B50}" name="Total Unit Price" totalsRowFunction="sum" dataDxfId="640" totalsRowDxfId="6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53F4F4-879B-4AB3-92BF-89BA4B15F139}" name="Table3" displayName="Table3" ref="A4:H7" totalsRowCount="1" headerRowDxfId="638" dataDxfId="636" totalsRowDxfId="634" headerRowBorderDxfId="637" tableBorderDxfId="635" totalsRowBorderDxfId="633">
  <autoFilter ref="A4:H6" xr:uid="{CB53F4F4-879B-4AB3-92BF-89BA4B15F139}"/>
  <tableColumns count="8">
    <tableColumn id="1" xr3:uid="{5DF8C9D3-43A8-4B9E-AB80-43EAC5514730}" name="No." dataDxfId="632" totalsRowDxfId="631"/>
    <tableColumn id="3" xr3:uid="{D1E435F4-6FA9-40AE-B8D4-DF8D768228AF}" name="Unit" totalsRowFunction="count" dataDxfId="630" totalsRowDxfId="629"/>
    <tableColumn id="4" xr3:uid="{C70FBA98-21E5-47A3-AAA1-2E6F02C588A4}" name="Type" dataDxfId="628" totalsRowDxfId="627"/>
    <tableColumn id="5" xr3:uid="{85E0229A-1F05-4AF2-A662-FA110CCFF088}" name="Land Area" dataDxfId="626" totalsRowDxfId="625"/>
    <tableColumn id="6" xr3:uid="{1709AD8C-4982-4A28-B1E0-18BB1BD04099}" name="Design Area" dataDxfId="624" totalsRowDxfId="623"/>
    <tableColumn id="7" xr3:uid="{375BD040-F6EF-4559-94CE-6513F495130D}" name="Roof Terrace Area" dataDxfId="622" totalsRowDxfId="621"/>
    <tableColumn id="9" xr3:uid="{E08DC4CA-44A7-4989-B76B-A7040D867076}" name="Basement Area" dataDxfId="620" totalsRowDxfId="619"/>
    <tableColumn id="10" xr3:uid="{4FEF89C9-6E04-425A-A9DD-3A76C36B021E}" name="Total Unit Price (4 years)" totalsRowFunction="custom" dataDxfId="618" totalsRowDxfId="617">
      <totalsRowFormula>SUM(H5:H6)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739E26-D1F1-4ADE-BAF9-8D105615F955}" name="Table96" displayName="Table96" ref="A3:I13" totalsRowCount="1" headerRowDxfId="616" dataDxfId="614" totalsRowDxfId="612" headerRowBorderDxfId="615" tableBorderDxfId="613" totalsRowBorderDxfId="611">
  <tableColumns count="9">
    <tableColumn id="1" xr3:uid="{47048EAC-5DB7-4AD9-B718-0EAFE1615035}" name="#" dataDxfId="610" totalsRowDxfId="609"/>
    <tableColumn id="2" xr3:uid="{3951A5C9-E91A-4A7B-BE1C-1BC4E1D91BD2}" name="Unit Name" totalsRowFunction="count" dataDxfId="608" totalsRowDxfId="607"/>
    <tableColumn id="4" xr3:uid="{330CD4E4-0761-47C6-8B87-347EA0A74C9D}" name="Unit Type" dataDxfId="606" totalsRowDxfId="605"/>
    <tableColumn id="6" xr3:uid="{34CE4DB9-8AE7-44C0-9234-5CE2D4D3D750}" name="Floor" dataDxfId="604" totalsRowDxfId="603"/>
    <tableColumn id="7" xr3:uid="{4BC5E2C7-88FE-4CC1-AEC1-B352BEAD4174}" name="Design Area" dataDxfId="602" totalsRowDxfId="601"/>
    <tableColumn id="8" xr3:uid="{7B9C94F8-2D05-4B10-99A1-8423A573FA15}" name="Roof Terrace Area" dataDxfId="600" totalsRowDxfId="599"/>
    <tableColumn id="9" xr3:uid="{CEE701F0-6B95-418E-B9A1-9C051A300BDE}" name="Garden Area" dataDxfId="598" totalsRowDxfId="597"/>
    <tableColumn id="3" xr3:uid="{9E275722-3333-46D2-AE78-1C1A2852EE93}" name="Total Unit Price" totalsRowFunction="sum" dataDxfId="596" totalsRowDxfId="595"/>
    <tableColumn id="10" xr3:uid="{B5EFCE70-C57C-4DB3-8F4E-0BBCAC49B950}" name="10% DP" dataDxfId="594" totalsRowDxfId="593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4EDF3B-D1B9-4D8C-B895-5B90E21A4E72}" name="Table77" displayName="Table77" ref="A5:J39" totalsRowCount="1" headerRowDxfId="592" dataDxfId="590" totalsRowDxfId="588" headerRowBorderDxfId="591" tableBorderDxfId="589" totalsRowBorderDxfId="587">
  <tableColumns count="10">
    <tableColumn id="1" xr3:uid="{7A568657-6F64-407B-8B95-DCA3EC6AE83E}" name="#" dataDxfId="586" totalsRowDxfId="70">
      <calculatedColumnFormula>ROW()-5</calculatedColumnFormula>
    </tableColumn>
    <tableColumn id="2" xr3:uid="{F14E576D-A298-444A-8D63-7B00B9A92598}" name="UNIT CODE" dataDxfId="585" totalsRowDxfId="69"/>
    <tableColumn id="3" xr3:uid="{DD8B7C14-0392-4B78-97FE-B20D7402DA80}" name="ZONE" dataDxfId="584" totalsRowDxfId="68"/>
    <tableColumn id="4" xr3:uid="{BCA76990-2276-4847-BF46-D295F6CC5882}" name="UNIT TYPE" dataDxfId="583" totalsRowDxfId="67"/>
    <tableColumn id="5" xr3:uid="{EDBEA16D-9F8D-4582-B52A-E2E8BE81EF08}" name="DESIGN" dataDxfId="582" totalsRowDxfId="66"/>
    <tableColumn id="6" xr3:uid="{7B517488-7AF8-4288-94FE-7E06EEFE9364}" name="GROSS BUA" dataDxfId="581" totalsRowDxfId="65"/>
    <tableColumn id="7" xr3:uid="{F472E8CB-411C-469A-B75D-D84EE6948737}" name="LAND AREA" dataDxfId="580" totalsRowDxfId="64"/>
    <tableColumn id="9" xr3:uid="{A7854C8C-AC1D-401F-BD54-F9321F1AB96A}" name="ROOF TERRACE" dataDxfId="579" totalsRowDxfId="63"/>
    <tableColumn id="8" xr3:uid="{62B3071F-5916-4B0B-91A3-65774240EEAE}" name="Final Price" dataDxfId="578" totalsRowDxfId="62"/>
    <tableColumn id="10" xr3:uid="{05A2C25C-9EDA-419D-BE9B-583C60E0E2A1}" name="5% DP" dataDxfId="577" totalsRowDxfId="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DAD7521-7D71-4B7B-B375-085D78C1D801}" name="Table214" displayName="Table214" ref="A6:N22" totalsRowCount="1" headerRowDxfId="576" dataDxfId="574" totalsRowDxfId="572" headerRowBorderDxfId="575" tableBorderDxfId="573" totalsRowBorderDxfId="571">
  <tableColumns count="14">
    <tableColumn id="1" xr3:uid="{E6DA9CE4-09D6-4172-91A2-E85129EB2B12}" name="#" dataDxfId="570" totalsRowDxfId="60">
      <calculatedColumnFormula>ROW()-6</calculatedColumnFormula>
    </tableColumn>
    <tableColumn id="3" xr3:uid="{BB100CED-70AA-4BD8-8819-CE188F7548C7}" name="UNIT CODE" dataDxfId="569" totalsRowDxfId="59"/>
    <tableColumn id="4" xr3:uid="{C7FF36DC-9467-4A94-9453-2096E18073F5}" name="BUILDING #" dataDxfId="568" totalsRowDxfId="58"/>
    <tableColumn id="5" xr3:uid="{8BC578DD-8B8B-4B93-B98B-5B29D651CFB0}" name="FLOOR" dataDxfId="567" totalsRowDxfId="57"/>
    <tableColumn id="6" xr3:uid="{2E42F167-AEFE-40F3-A2F1-67FEAB5B60DA}" name="UNIT TYPE" dataDxfId="566" totalsRowDxfId="56"/>
    <tableColumn id="7" xr3:uid="{BAB75404-F153-4A85-AD63-A6016BE70DA1}" name="GROSS BUA" dataDxfId="565" totalsRowDxfId="55"/>
    <tableColumn id="8" xr3:uid="{D638A561-9298-47DA-9995-03D03AD7CE3E}" name="GARDEN" dataDxfId="564" totalsRowDxfId="54"/>
    <tableColumn id="2" xr3:uid="{A7387743-1BD4-4418-8FEA-6677F233B6F1}" name="Roof Terrace Area" dataDxfId="563" totalsRowDxfId="53"/>
    <tableColumn id="9" xr3:uid="{D14CEC88-A4DB-46C8-A074-327CE0533FB4}" name="TOTAL PRICE" dataDxfId="562" totalsRowDxfId="52"/>
    <tableColumn id="10" xr3:uid="{D1872BBD-619D-4AB9-ADC7-7EA2D5658ADA}" name="5% Reservation" dataDxfId="561" totalsRowDxfId="51"/>
    <tableColumn id="11" xr3:uid="{A9DF446E-7124-4F2F-8973-96D848BC003A}" name="TOTAL PRICE 2" dataDxfId="560" totalsRowDxfId="50"/>
    <tableColumn id="12" xr3:uid="{81B6D86B-EC32-475C-8D9B-06B5127EBC76}" name="5% Reservation 2" dataDxfId="559" totalsRowDxfId="49"/>
    <tableColumn id="13" xr3:uid="{0CE8E3EF-0DD1-4363-9515-6B65066ACA7C}" name="TOTAL PRICE 3" dataDxfId="558" totalsRowDxfId="48"/>
    <tableColumn id="14" xr3:uid="{0A746641-3617-45AD-884F-D78E71ABD2FF}" name="5% Reservation 3" dataDxfId="557" totalsRowDxfId="4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11212-0EDA-49AE-98AD-88FECB1788F5}" name="Table1" displayName="Table1" ref="A4:J47" totalsRowCount="1" headerRowDxfId="556" dataDxfId="554" totalsRowDxfId="552" headerRowBorderDxfId="555" tableBorderDxfId="553" totalsRowBorderDxfId="551">
  <tableColumns count="10">
    <tableColumn id="1" xr3:uid="{CEBB8060-09C4-432F-B79F-765BAB3640E7}" name="#" dataDxfId="550" totalsRowDxfId="46">
      <calculatedColumnFormula>ROW()-4</calculatedColumnFormula>
    </tableColumn>
    <tableColumn id="3" xr3:uid="{CA2558F5-0468-4051-8D8B-F50B0CDBA52E}" name="Unit Code" dataDxfId="549" totalsRowDxfId="45"/>
    <tableColumn id="5" xr3:uid="{8CFE7C52-5E10-43A7-A374-BA8039136654}" name="Design Type" dataDxfId="548" totalsRowDxfId="44"/>
    <tableColumn id="6" xr3:uid="{EE8CC5E5-6DE8-408E-8762-75386F9A7348}" name="Unit Type" dataDxfId="547" totalsRowDxfId="43"/>
    <tableColumn id="7" xr3:uid="{81D8A25F-1217-418D-A2AE-B168E13FA7C0}" name="Floor" dataDxfId="546" totalsRowDxfId="42"/>
    <tableColumn id="8" xr3:uid="{B1F31950-9FF3-4A47-8DE7-3DB28BD4AF9D}" name="Design Area" dataDxfId="545" totalsRowDxfId="41"/>
    <tableColumn id="9" xr3:uid="{1B362D40-4A5E-46C1-B274-171007B3114D}" name="Roof Terrace Area" dataDxfId="544" totalsRowDxfId="40"/>
    <tableColumn id="10" xr3:uid="{C82C3877-4615-4371-AE6D-A5530C98F9DD}" name="Total Garden Area" dataDxfId="543" totalsRowDxfId="39"/>
    <tableColumn id="11" xr3:uid="{FDE8D35F-874E-4C4A-87CE-894800C335B0}" name="Total Unit Price" dataDxfId="542" totalsRowDxfId="38"/>
    <tableColumn id="2" xr3:uid="{24B8A320-830E-4E4D-B53B-5B26C1D78A4B}" name="5% DP" dataDxfId="541" totalsRow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324D73-518E-414C-BCB5-1C73257B6D49}" name="Table7" displayName="Table7" ref="A6:M48" totalsRowCount="1" headerRowDxfId="540" dataDxfId="538" totalsRowDxfId="536" headerRowBorderDxfId="539" tableBorderDxfId="537" totalsRowBorderDxfId="535">
  <tableColumns count="13">
    <tableColumn id="1" xr3:uid="{0D82B537-7071-4ED3-8F63-778B62BC36BE}" name="#" dataDxfId="534" totalsRowDxfId="36">
      <calculatedColumnFormula>ROW()-6</calculatedColumnFormula>
    </tableColumn>
    <tableColumn id="2" xr3:uid="{F7D7E8FF-0D28-41B4-82A1-A0BC758D5531}" name="UNIT CODE" dataDxfId="533" totalsRowDxfId="35"/>
    <tableColumn id="3" xr3:uid="{8F09B207-7766-47A0-BD64-9763932699AF}" name="BUILDING NUMBER" dataDxfId="532" totalsRowDxfId="34"/>
    <tableColumn id="4" xr3:uid="{97E23869-7AE7-4D67-9F71-DEA01B58EECC}" name="FLOOR" dataDxfId="531" totalsRowDxfId="33"/>
    <tableColumn id="5" xr3:uid="{DBEAA2FE-00F6-49E5-BF98-34D366E6900A}" name="GROSS AREA" dataDxfId="530" totalsRowDxfId="32"/>
    <tableColumn id="6" xr3:uid="{8A80AD8D-8C96-48D1-9C34-B69CA597BBB0}" name="OFFICE TERRACE" dataDxfId="529" totalsRowDxfId="31"/>
    <tableColumn id="7" xr3:uid="{0C324CF3-6D9E-484D-88BF-B6397B912C44}" name="NO. OF DEDICATED PARKING" dataDxfId="528" totalsRowDxfId="30"/>
    <tableColumn id="9" xr3:uid="{5746F248-0666-46B0-B2EF-4A03104F939F}" name="Price" totalsRowDxfId="29"/>
    <tableColumn id="8" xr3:uid="{C5993AD1-1386-48B2-B92E-6F3C641CC503}" name="10% DP" dataDxfId="527" totalsRowDxfId="28"/>
    <tableColumn id="10" xr3:uid="{508B9DEC-ACBC-4988-B0BB-F22C518891D5}" name="Price 2" dataDxfId="526" totalsRowDxfId="27"/>
    <tableColumn id="11" xr3:uid="{985D9ECA-A7BC-4045-A028-AEE23D3C7536}" name="10% DP2" dataDxfId="525" totalsRowDxfId="26"/>
    <tableColumn id="12" xr3:uid="{32BEED85-CFF8-4EA3-BF5B-D9892CED4792}" name="Price 3" dataDxfId="524"/>
    <tableColumn id="13" xr3:uid="{1FCFB8D2-83D4-4DFA-A4F1-9DC87FD03F85}" name="10% DP3" dataDxfId="5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CB6189-B13B-4E56-A6E3-69D751384AE0}" name="Table2" displayName="Table2" ref="A4:I8" totalsRowCount="1" headerRowDxfId="522" dataDxfId="520" totalsRowDxfId="518" headerRowBorderDxfId="521" tableBorderDxfId="519" totalsRowBorderDxfId="517">
  <tableColumns count="9">
    <tableColumn id="1" xr3:uid="{624864AB-3234-4F96-A0B9-C0F29472374E}" name="#" dataDxfId="516" totalsRowDxfId="25"/>
    <tableColumn id="3" xr3:uid="{6C4A5FC4-3C2D-4D94-AD39-A0BF06F721EB}" name="Unit Name" dataDxfId="515" totalsRowDxfId="24"/>
    <tableColumn id="4" xr3:uid="{07D1330A-8DE7-4B6C-80EC-B0E29CACC090}" name="Type" dataDxfId="514" totalsRowDxfId="23"/>
    <tableColumn id="5" xr3:uid="{B07DF62C-6894-4E61-B924-A64FEB575542}" name="Land Area" dataDxfId="513" totalsRowDxfId="22"/>
    <tableColumn id="6" xr3:uid="{71846CB9-F1CE-4685-AB8B-B3041D632EDD}" name="Design Area" dataDxfId="512" totalsRowDxfId="21"/>
    <tableColumn id="7" xr3:uid="{7DBDA429-E589-4191-A343-DC475C53BD60}" name="Roof Terrace Area" dataDxfId="511" totalsRowDxfId="20"/>
    <tableColumn id="8" xr3:uid="{0B88B7CC-FB8A-49BF-BA81-583E33B57573}" name="Basement Area" dataDxfId="510" totalsRowDxfId="19"/>
    <tableColumn id="9" xr3:uid="{41EC1180-B150-4580-914D-74222A11D74C}" name="Total Unit Price" dataDxfId="509" totalsRowDxfId="18"/>
    <tableColumn id="10" xr3:uid="{DF2529C7-F82D-4EAB-9A92-C243177C655B}" name="5% Reservation" dataDxfId="508" totalsRow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BD1188-D201-402C-A8A8-831331C92B9E}" name="Table711" displayName="Table711" ref="A4:J6" totalsRowCount="1" headerRowDxfId="507" dataDxfId="505" totalsRowDxfId="503" headerRowBorderDxfId="506" tableBorderDxfId="504" totalsRowBorderDxfId="502">
  <tableColumns count="10">
    <tableColumn id="1" xr3:uid="{1441BB29-AD17-40C6-A292-8E63EC30EED0}" name="#" dataDxfId="501" totalsRowDxfId="500">
      <calculatedColumnFormula>ROW()-4</calculatedColumnFormula>
    </tableColumn>
    <tableColumn id="2" xr3:uid="{8CB30E62-34E5-410B-AB07-4760E40ADAB6}" name="UNIT CODE" totalsRowLabel="0" dataDxfId="499" totalsRowDxfId="498"/>
    <tableColumn id="3" xr3:uid="{1DFA2745-8FEC-4518-B30C-9E16811F13FB}" name="BUILDING" dataDxfId="497" totalsRowDxfId="496"/>
    <tableColumn id="4" xr3:uid="{E1F30B47-541C-46AC-954B-DB223D7FC7D5}" name="Unit type" dataDxfId="495" totalsRowDxfId="494"/>
    <tableColumn id="5" xr3:uid="{22BECADC-5586-45E9-9750-793485D00513}" name="GROSS AREA" dataDxfId="493" totalsRowDxfId="492"/>
    <tableColumn id="6" xr3:uid="{130803E2-40D2-4811-86CC-7CB580ABE666}" name="OFFICE TERRACE" dataDxfId="491" totalsRowDxfId="490"/>
    <tableColumn id="7" xr3:uid="{ABBF7A65-9FF6-4DE9-9096-0C2343F2B18D}" name="PRICE FF" totalsRowLabel=" -   " dataDxfId="489" totalsRowDxfId="488"/>
    <tableColumn id="9" xr3:uid="{A3399CF0-D961-422A-B79E-9EF6312F0502}" name="10% DP" dataDxfId="487" totalsRowDxfId="486">
      <calculatedColumnFormula>Table711[[#This Row],[PRICE FF]]*10%</calculatedColumnFormula>
    </tableColumn>
    <tableColumn id="8" xr3:uid="{BBA237A2-DF15-4BE3-AB9C-CFACB2041DD4}" name="PRICE FR" dataDxfId="485" totalsRowDxfId="484"/>
    <tableColumn id="10" xr3:uid="{4CECC430-33A6-4123-AAF7-841B380D1730}" name="10% DP2" dataDxfId="483" totalsRowDxfId="482">
      <calculatedColumnFormula>Table711[[#This Row],[PRICE FR]]*10%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173E93-F1A9-4612-8E58-B15FE4271E46}" name="Table4" displayName="Table4" ref="A3:G27" totalsRowCount="1" headerRowDxfId="481" dataDxfId="479" totalsRowDxfId="477" headerRowBorderDxfId="480" tableBorderDxfId="478" totalsRowBorderDxfId="476">
  <tableColumns count="7">
    <tableColumn id="1" xr3:uid="{2064801E-80D0-49DA-B408-DA6A11A52F30}" name="#" dataDxfId="475" totalsRowDxfId="16">
      <calculatedColumnFormula>ROW()-3</calculatedColumnFormula>
    </tableColumn>
    <tableColumn id="2" xr3:uid="{A69DBA55-48D7-4932-8DA2-B4B26F0CE8CE}" name="Unit Name" dataDxfId="474" totalsRowDxfId="15"/>
    <tableColumn id="3" xr3:uid="{784A2378-D87F-4DB7-A67F-08DE2D71DE70}" name="Unit Type" dataDxfId="473" totalsRowDxfId="14"/>
    <tableColumn id="4" xr3:uid="{511F9567-3EB9-4B0C-8A87-20AA04FCED0B}" name="Design Area" dataDxfId="472" totalsRowDxfId="13"/>
    <tableColumn id="5" xr3:uid="{05514D74-4C48-4FD5-B1EC-F74E77DB327E}" name="Garden Area" dataDxfId="471" totalsRowDxfId="12"/>
    <tableColumn id="6" xr3:uid="{E2685224-CF17-459E-9796-CCCDA927F46D}" name="Total Unit Price " dataDxfId="470" totalsRowDxfId="11"/>
    <tableColumn id="7" xr3:uid="{224A829B-7A8D-485F-96F4-64DE5FA40788}" name="10%" dataDxfId="469" totalsRowDxfId="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0629B8-FCB8-496D-B7C9-E889874AEBE0}" name="Table9" displayName="Table9" ref="A3:J31" totalsRowCount="1" headerRowDxfId="468" dataDxfId="466" totalsRowDxfId="464" headerRowBorderDxfId="467" tableBorderDxfId="465" totalsRowBorderDxfId="463">
  <tableColumns count="10">
    <tableColumn id="1" xr3:uid="{83F1BB01-4803-42BD-AAC2-0CF93E25FADC}" name="#" dataDxfId="462" totalsRowDxfId="9">
      <calculatedColumnFormula>ROW()-3</calculatedColumnFormula>
    </tableColumn>
    <tableColumn id="2" xr3:uid="{AEB4F76F-C0A2-4BFC-932E-428C2734E167}" name="UNIT CODE" dataDxfId="461" totalsRowDxfId="8"/>
    <tableColumn id="4" xr3:uid="{3B618E0D-1709-4939-9219-503A25A0C398}" name="Design Type" dataDxfId="460" totalsRowDxfId="7"/>
    <tableColumn id="6" xr3:uid="{88410235-9BC1-46FA-8129-9729F558F4DD}" name="FLOOR" dataDxfId="459" totalsRowDxfId="6"/>
    <tableColumn id="7" xr3:uid="{F0A8129A-E8FE-47C0-B325-176AE9844544}" name="NUMBER OF BEDS" dataDxfId="458" totalsRowDxfId="5"/>
    <tableColumn id="8" xr3:uid="{06AC0864-1ADB-4499-8DCF-C99AD21285BC}" name="GROSS BUA" dataDxfId="457" totalsRowDxfId="4"/>
    <tableColumn id="9" xr3:uid="{BD79D641-91A5-47F2-9218-06BDC0A07C0F}" name="Garden Area" dataDxfId="456" totalsRowDxfId="3"/>
    <tableColumn id="3" xr3:uid="{52D232F9-93CF-4736-B6EF-219C03E662B3}" name="OPEN ROOF TERRACE" dataDxfId="455" totalsRowDxfId="2"/>
    <tableColumn id="10" xr3:uid="{9888D80A-1A62-4A8E-9682-B461118583D7}" name="Unit Price" dataDxfId="454" totalsRowDxfId="1"/>
    <tableColumn id="5" xr3:uid="{F988487A-D7B2-48FB-8E89-F2A99BDC7542}" name="DP 5%" dataDxfId="453" totalsRowDxfId="0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65BAEE-1B97-4FC1-BD68-B884AFC4DE3B}" name="Table11" displayName="Table11" ref="A4:G5" totalsRowShown="0" headerRowDxfId="452" dataDxfId="450" headerRowBorderDxfId="451" tableBorderDxfId="449" totalsRowBorderDxfId="448">
  <autoFilter ref="A4:G5" xr:uid="{C865BAEE-1B97-4FC1-BD68-B884AFC4DE3B}"/>
  <tableColumns count="7">
    <tableColumn id="1" xr3:uid="{7145086A-8494-4BCB-84C3-5EB7DD54F770}" name="#" dataDxfId="447"/>
    <tableColumn id="2" xr3:uid="{E7367BFB-8322-4D05-942F-DCE8B43D6942}" name="Unit Code" dataDxfId="446"/>
    <tableColumn id="3" xr3:uid="{2F592F4F-46D3-4DD1-96E3-7353D778FEF2}" name="Floor" dataDxfId="445"/>
    <tableColumn id="4" xr3:uid="{80804CA9-B437-42C1-BD76-B4E4617431F0}" name="No. of Bedrooms" dataDxfId="444"/>
    <tableColumn id="5" xr3:uid="{320C5C43-5668-47CB-A615-E710496BACE8}" name="Garden Area" dataDxfId="443"/>
    <tableColumn id="6" xr3:uid="{9A837C60-1155-4C87-A0DD-B0DEFC2382BA}" name="Total Area" dataDxfId="442"/>
    <tableColumn id="7" xr3:uid="{B397B0E7-866F-4D9E-8D88-1C9E1737E5C6}" name="Total Price" dataDxfId="44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803565-295F-48AC-87F2-D41E4A4D7792}" name="Table8" displayName="Table8" ref="A4:F10" totalsRowCount="1" headerRowDxfId="440" dataDxfId="438" totalsRowDxfId="436" headerRowBorderDxfId="439" tableBorderDxfId="437" totalsRowBorderDxfId="435">
  <autoFilter ref="A4:F9" xr:uid="{BC803565-295F-48AC-87F2-D41E4A4D7792}"/>
  <tableColumns count="6">
    <tableColumn id="1" xr3:uid="{C9E49B61-3566-4D0C-9543-5C01F4E7923E}" name="#" dataDxfId="434" totalsRowDxfId="433"/>
    <tableColumn id="2" xr3:uid="{01AA0C7D-C28C-4CE8-BA96-FFF75683CCD5}" name="Unit Code" totalsRowFunction="count" dataDxfId="432" totalsRowDxfId="431"/>
    <tableColumn id="4" xr3:uid="{FBD2AE54-6774-48B3-8AE9-2228012B59DA}" name="Land Area" dataDxfId="430" totalsRowDxfId="429"/>
    <tableColumn id="5" xr3:uid="{B82499A9-60C5-4473-ADBA-E4C3C1120322}" name="BUA" dataDxfId="428" totalsRowDxfId="427"/>
    <tableColumn id="6" xr3:uid="{9B840D08-6D78-413B-AA94-92F5178AF791}" name="Roof" dataDxfId="426" totalsRowDxfId="425"/>
    <tableColumn id="7" xr3:uid="{D13A1036-FBE8-4FEC-BEAB-76FB1EE4F177}" name="Total Price" totalsRowFunction="sum" dataDxfId="424" totalsRowDxfId="4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0461-F6CE-4BC9-B9C7-8ED6606BF337}">
  <dimension ref="A1:L280"/>
  <sheetViews>
    <sheetView view="pageBreakPreview" topLeftCell="A7" zoomScale="92" zoomScaleNormal="83" zoomScaleSheetLayoutView="115" workbookViewId="0">
      <selection activeCell="F24" sqref="F24"/>
    </sheetView>
  </sheetViews>
  <sheetFormatPr defaultRowHeight="14.4" x14ac:dyDescent="0.3"/>
  <cols>
    <col min="1" max="1" width="6.6640625" customWidth="1"/>
    <col min="2" max="2" width="19.44140625" customWidth="1"/>
    <col min="4" max="4" width="10.33203125" customWidth="1"/>
    <col min="5" max="5" width="14.77734375" customWidth="1"/>
    <col min="6" max="6" width="13.109375" customWidth="1"/>
    <col min="7" max="7" width="20.5546875" customWidth="1"/>
    <col min="8" max="8" width="9.6640625" customWidth="1"/>
    <col min="9" max="9" width="20.6640625" customWidth="1"/>
    <col min="10" max="10" width="13.77734375" customWidth="1"/>
    <col min="11" max="11" width="23.44140625" customWidth="1"/>
    <col min="12" max="12" width="19.44140625" customWidth="1"/>
  </cols>
  <sheetData>
    <row r="1" spans="1:12" ht="12.6" customHeight="1" x14ac:dyDescent="0.3">
      <c r="A1" s="285" t="s">
        <v>193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</row>
    <row r="2" spans="1:12" ht="12.6" customHeight="1" x14ac:dyDescent="0.3">
      <c r="A2" s="287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2" ht="12.6" customHeight="1" x14ac:dyDescent="0.3">
      <c r="A3" s="287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</row>
    <row r="4" spans="1:12" ht="12.6" customHeight="1" thickBot="1" x14ac:dyDescent="0.35">
      <c r="A4" s="289"/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</row>
    <row r="5" spans="1:12" ht="13.2" customHeight="1" thickBot="1" x14ac:dyDescent="0.35">
      <c r="A5" s="293"/>
      <c r="B5" s="293"/>
      <c r="C5" s="293"/>
      <c r="D5" s="293"/>
      <c r="E5" s="293"/>
      <c r="F5" s="293"/>
      <c r="G5" s="293"/>
      <c r="H5" s="293"/>
      <c r="I5" s="293"/>
      <c r="J5" s="293"/>
      <c r="K5" s="159"/>
      <c r="L5" s="159"/>
    </row>
    <row r="6" spans="1:12" ht="21" customHeight="1" thickTop="1" thickBot="1" x14ac:dyDescent="0.35">
      <c r="A6" s="294"/>
      <c r="B6" s="294"/>
      <c r="C6" s="294"/>
      <c r="D6" s="294"/>
      <c r="E6" s="294"/>
      <c r="F6" s="294"/>
      <c r="G6" s="294"/>
      <c r="H6" s="294"/>
      <c r="I6" s="294"/>
      <c r="J6" s="294"/>
      <c r="K6" s="291" t="s">
        <v>471</v>
      </c>
      <c r="L6" s="292"/>
    </row>
    <row r="7" spans="1:12" ht="20.399999999999999" x14ac:dyDescent="0.3">
      <c r="A7" s="163" t="s">
        <v>5</v>
      </c>
      <c r="B7" s="164" t="s">
        <v>194</v>
      </c>
      <c r="C7" s="164" t="s">
        <v>195</v>
      </c>
      <c r="D7" s="164" t="s">
        <v>196</v>
      </c>
      <c r="E7" s="164" t="s">
        <v>65</v>
      </c>
      <c r="F7" s="164" t="s">
        <v>13</v>
      </c>
      <c r="G7" s="164" t="s">
        <v>197</v>
      </c>
      <c r="H7" s="164" t="s">
        <v>47</v>
      </c>
      <c r="I7" s="164" t="s">
        <v>198</v>
      </c>
      <c r="J7" s="164" t="s">
        <v>67</v>
      </c>
      <c r="K7" s="174" t="s">
        <v>199</v>
      </c>
      <c r="L7" s="175">
        <v>0.05</v>
      </c>
    </row>
    <row r="8" spans="1:12" x14ac:dyDescent="0.3">
      <c r="A8" s="166">
        <f t="shared" ref="A8:A13" si="0">ROW()-7</f>
        <v>1</v>
      </c>
      <c r="B8" s="167" t="s">
        <v>212</v>
      </c>
      <c r="C8" s="167" t="s">
        <v>202</v>
      </c>
      <c r="D8" s="167">
        <v>1</v>
      </c>
      <c r="E8" s="167" t="s">
        <v>114</v>
      </c>
      <c r="F8" s="167" t="s">
        <v>131</v>
      </c>
      <c r="G8" s="167" t="s">
        <v>117</v>
      </c>
      <c r="H8" s="167">
        <v>165</v>
      </c>
      <c r="I8" s="167">
        <v>0</v>
      </c>
      <c r="J8" s="167">
        <v>0</v>
      </c>
      <c r="K8" s="257">
        <v>16729754</v>
      </c>
      <c r="L8" s="257">
        <v>836487.7</v>
      </c>
    </row>
    <row r="9" spans="1:12" x14ac:dyDescent="0.3">
      <c r="A9" s="166">
        <f t="shared" si="0"/>
        <v>2</v>
      </c>
      <c r="B9" s="167" t="s">
        <v>213</v>
      </c>
      <c r="C9" s="167" t="s">
        <v>202</v>
      </c>
      <c r="D9" s="167">
        <v>2</v>
      </c>
      <c r="E9" s="167" t="s">
        <v>207</v>
      </c>
      <c r="F9" s="167" t="s">
        <v>134</v>
      </c>
      <c r="G9" s="167" t="s">
        <v>208</v>
      </c>
      <c r="H9" s="167">
        <v>215</v>
      </c>
      <c r="I9" s="167">
        <v>0</v>
      </c>
      <c r="J9" s="167">
        <v>48</v>
      </c>
      <c r="K9" s="257">
        <v>23585487</v>
      </c>
      <c r="L9" s="257">
        <v>1179274.3500000001</v>
      </c>
    </row>
    <row r="10" spans="1:12" x14ac:dyDescent="0.3">
      <c r="A10" s="166">
        <f t="shared" si="0"/>
        <v>3</v>
      </c>
      <c r="B10" s="167" t="s">
        <v>214</v>
      </c>
      <c r="C10" s="167" t="s">
        <v>202</v>
      </c>
      <c r="D10" s="167">
        <v>2</v>
      </c>
      <c r="E10" s="167" t="s">
        <v>207</v>
      </c>
      <c r="F10" s="167" t="s">
        <v>134</v>
      </c>
      <c r="G10" s="167" t="s">
        <v>117</v>
      </c>
      <c r="H10" s="167">
        <v>212</v>
      </c>
      <c r="I10" s="167">
        <v>0</v>
      </c>
      <c r="J10" s="167">
        <v>41</v>
      </c>
      <c r="K10" s="257">
        <v>23285556</v>
      </c>
      <c r="L10" s="257">
        <v>1164277.8</v>
      </c>
    </row>
    <row r="11" spans="1:12" x14ac:dyDescent="0.3">
      <c r="A11" s="166">
        <f t="shared" si="0"/>
        <v>4</v>
      </c>
      <c r="B11" s="167" t="s">
        <v>394</v>
      </c>
      <c r="C11" s="167" t="s">
        <v>202</v>
      </c>
      <c r="D11" s="167">
        <v>6</v>
      </c>
      <c r="E11" s="167" t="s">
        <v>114</v>
      </c>
      <c r="F11" s="167" t="s">
        <v>131</v>
      </c>
      <c r="G11" s="167" t="s">
        <v>206</v>
      </c>
      <c r="H11" s="167">
        <v>88</v>
      </c>
      <c r="I11" s="167">
        <v>0</v>
      </c>
      <c r="J11" s="167">
        <v>0</v>
      </c>
      <c r="K11" s="257">
        <v>8775379</v>
      </c>
      <c r="L11" s="257">
        <v>438768.95</v>
      </c>
    </row>
    <row r="12" spans="1:12" x14ac:dyDescent="0.3">
      <c r="A12" s="166">
        <f t="shared" si="0"/>
        <v>5</v>
      </c>
      <c r="B12" s="167" t="s">
        <v>215</v>
      </c>
      <c r="C12" s="167" t="s">
        <v>202</v>
      </c>
      <c r="D12" s="167">
        <v>6</v>
      </c>
      <c r="E12" s="167" t="s">
        <v>114</v>
      </c>
      <c r="F12" s="167" t="s">
        <v>116</v>
      </c>
      <c r="G12" s="167" t="s">
        <v>117</v>
      </c>
      <c r="H12" s="167">
        <v>150</v>
      </c>
      <c r="I12" s="167">
        <v>0</v>
      </c>
      <c r="J12" s="167">
        <v>0</v>
      </c>
      <c r="K12" s="257">
        <v>14861793</v>
      </c>
      <c r="L12" s="257">
        <v>743089.65</v>
      </c>
    </row>
    <row r="13" spans="1:12" x14ac:dyDescent="0.3">
      <c r="A13" s="166">
        <f t="shared" si="0"/>
        <v>6</v>
      </c>
      <c r="B13" s="167" t="s">
        <v>432</v>
      </c>
      <c r="C13" s="167" t="s">
        <v>202</v>
      </c>
      <c r="D13" s="167">
        <v>7</v>
      </c>
      <c r="E13" s="167" t="s">
        <v>114</v>
      </c>
      <c r="F13" s="167" t="s">
        <v>116</v>
      </c>
      <c r="G13" s="167" t="s">
        <v>210</v>
      </c>
      <c r="H13" s="167">
        <v>150</v>
      </c>
      <c r="I13" s="167">
        <v>0</v>
      </c>
      <c r="J13" s="167">
        <v>0</v>
      </c>
      <c r="K13" s="257">
        <v>15265556</v>
      </c>
      <c r="L13" s="257">
        <v>763277.8</v>
      </c>
    </row>
    <row r="14" spans="1:12" x14ac:dyDescent="0.3">
      <c r="A14" s="166">
        <f t="shared" ref="A14:A16" si="1">ROW()-7</f>
        <v>7</v>
      </c>
      <c r="B14" s="167" t="s">
        <v>203</v>
      </c>
      <c r="C14" s="167" t="s">
        <v>202</v>
      </c>
      <c r="D14" s="167">
        <v>8</v>
      </c>
      <c r="E14" s="167" t="s">
        <v>114</v>
      </c>
      <c r="F14" s="167" t="s">
        <v>118</v>
      </c>
      <c r="G14" s="167" t="s">
        <v>204</v>
      </c>
      <c r="H14" s="167">
        <v>102</v>
      </c>
      <c r="I14" s="167">
        <v>74</v>
      </c>
      <c r="J14" s="167">
        <v>0</v>
      </c>
      <c r="K14" s="257">
        <v>11897235</v>
      </c>
      <c r="L14" s="257">
        <v>594861.75</v>
      </c>
    </row>
    <row r="15" spans="1:12" x14ac:dyDescent="0.3">
      <c r="A15" s="166">
        <f t="shared" si="1"/>
        <v>8</v>
      </c>
      <c r="B15" s="167" t="s">
        <v>271</v>
      </c>
      <c r="C15" s="167" t="s">
        <v>202</v>
      </c>
      <c r="D15" s="167">
        <v>8</v>
      </c>
      <c r="E15" s="167" t="s">
        <v>114</v>
      </c>
      <c r="F15" s="167" t="s">
        <v>132</v>
      </c>
      <c r="G15" s="167" t="s">
        <v>115</v>
      </c>
      <c r="H15" s="167">
        <v>105</v>
      </c>
      <c r="I15" s="167">
        <v>0</v>
      </c>
      <c r="J15" s="167">
        <v>0</v>
      </c>
      <c r="K15" s="257">
        <v>11237816</v>
      </c>
      <c r="L15" s="257">
        <v>561890.80000000005</v>
      </c>
    </row>
    <row r="16" spans="1:12" x14ac:dyDescent="0.3">
      <c r="A16" s="166">
        <f t="shared" si="1"/>
        <v>9</v>
      </c>
      <c r="B16" s="167" t="s">
        <v>442</v>
      </c>
      <c r="C16" s="167" t="s">
        <v>200</v>
      </c>
      <c r="D16" s="167">
        <v>1</v>
      </c>
      <c r="E16" s="167" t="s">
        <v>114</v>
      </c>
      <c r="F16" s="167" t="s">
        <v>116</v>
      </c>
      <c r="G16" s="167" t="s">
        <v>117</v>
      </c>
      <c r="H16" s="167">
        <v>142</v>
      </c>
      <c r="I16" s="167">
        <v>0</v>
      </c>
      <c r="J16" s="167">
        <v>0</v>
      </c>
      <c r="K16" s="257">
        <v>14826074</v>
      </c>
      <c r="L16" s="257">
        <v>741303.7</v>
      </c>
    </row>
    <row r="17" spans="1:12" x14ac:dyDescent="0.3">
      <c r="A17" s="166">
        <f t="shared" ref="A17:A34" si="2">ROW()-7</f>
        <v>10</v>
      </c>
      <c r="B17" s="167" t="s">
        <v>209</v>
      </c>
      <c r="C17" s="167" t="s">
        <v>200</v>
      </c>
      <c r="D17" s="167">
        <v>3</v>
      </c>
      <c r="E17" s="167" t="s">
        <v>114</v>
      </c>
      <c r="F17" s="167" t="s">
        <v>132</v>
      </c>
      <c r="G17" s="167" t="s">
        <v>115</v>
      </c>
      <c r="H17" s="167">
        <v>124</v>
      </c>
      <c r="I17" s="167">
        <v>0</v>
      </c>
      <c r="J17" s="167">
        <v>0</v>
      </c>
      <c r="K17" s="257">
        <v>12111318</v>
      </c>
      <c r="L17" s="257">
        <v>605565.9</v>
      </c>
    </row>
    <row r="18" spans="1:12" x14ac:dyDescent="0.3">
      <c r="A18" s="166">
        <f t="shared" si="2"/>
        <v>11</v>
      </c>
      <c r="B18" s="167" t="s">
        <v>395</v>
      </c>
      <c r="C18" s="167" t="s">
        <v>201</v>
      </c>
      <c r="D18" s="167">
        <v>1</v>
      </c>
      <c r="E18" s="167" t="s">
        <v>114</v>
      </c>
      <c r="F18" s="167" t="s">
        <v>118</v>
      </c>
      <c r="G18" s="167" t="s">
        <v>115</v>
      </c>
      <c r="H18" s="167">
        <v>130</v>
      </c>
      <c r="I18" s="167">
        <v>110</v>
      </c>
      <c r="J18" s="167">
        <v>0</v>
      </c>
      <c r="K18" s="257">
        <v>15039392</v>
      </c>
      <c r="L18" s="257">
        <v>751969.6</v>
      </c>
    </row>
    <row r="19" spans="1:12" x14ac:dyDescent="0.3">
      <c r="A19" s="166">
        <f t="shared" si="2"/>
        <v>12</v>
      </c>
      <c r="B19" s="167" t="s">
        <v>396</v>
      </c>
      <c r="C19" s="167" t="s">
        <v>201</v>
      </c>
      <c r="D19" s="167">
        <v>3</v>
      </c>
      <c r="E19" s="167" t="s">
        <v>220</v>
      </c>
      <c r="F19" s="167" t="s">
        <v>118</v>
      </c>
      <c r="G19" s="167" t="s">
        <v>208</v>
      </c>
      <c r="H19" s="167">
        <v>275</v>
      </c>
      <c r="I19" s="167">
        <v>127</v>
      </c>
      <c r="J19" s="167">
        <v>0</v>
      </c>
      <c r="K19" s="257">
        <v>29847432</v>
      </c>
      <c r="L19" s="257">
        <v>1492371.6</v>
      </c>
    </row>
    <row r="20" spans="1:12" x14ac:dyDescent="0.3">
      <c r="A20" s="166">
        <f t="shared" si="2"/>
        <v>13</v>
      </c>
      <c r="B20" s="167" t="s">
        <v>211</v>
      </c>
      <c r="C20" s="167" t="s">
        <v>201</v>
      </c>
      <c r="D20" s="167">
        <v>5</v>
      </c>
      <c r="E20" s="167" t="s">
        <v>114</v>
      </c>
      <c r="F20" s="167" t="s">
        <v>131</v>
      </c>
      <c r="G20" s="167" t="s">
        <v>117</v>
      </c>
      <c r="H20" s="167">
        <v>170</v>
      </c>
      <c r="I20" s="167">
        <v>0</v>
      </c>
      <c r="J20" s="167">
        <v>0</v>
      </c>
      <c r="K20" s="257">
        <v>17290977</v>
      </c>
      <c r="L20" s="257">
        <v>864548.85</v>
      </c>
    </row>
    <row r="21" spans="1:12" x14ac:dyDescent="0.3">
      <c r="A21" s="166">
        <f t="shared" si="2"/>
        <v>14</v>
      </c>
      <c r="B21" s="167" t="s">
        <v>421</v>
      </c>
      <c r="C21" s="167" t="s">
        <v>205</v>
      </c>
      <c r="D21" s="167">
        <v>1</v>
      </c>
      <c r="E21" s="167" t="s">
        <v>114</v>
      </c>
      <c r="F21" s="167" t="s">
        <v>132</v>
      </c>
      <c r="G21" s="167" t="s">
        <v>115</v>
      </c>
      <c r="H21" s="167">
        <v>132</v>
      </c>
      <c r="I21" s="167">
        <v>0</v>
      </c>
      <c r="J21" s="167">
        <v>0</v>
      </c>
      <c r="K21" s="257">
        <v>13682206</v>
      </c>
      <c r="L21" s="257">
        <v>684110.3</v>
      </c>
    </row>
    <row r="22" spans="1:12" x14ac:dyDescent="0.3">
      <c r="A22" s="166">
        <f t="shared" si="2"/>
        <v>15</v>
      </c>
      <c r="B22" s="167" t="s">
        <v>216</v>
      </c>
      <c r="C22" s="167" t="s">
        <v>205</v>
      </c>
      <c r="D22" s="167">
        <v>1</v>
      </c>
      <c r="E22" s="167" t="s">
        <v>114</v>
      </c>
      <c r="F22" s="167" t="s">
        <v>133</v>
      </c>
      <c r="G22" s="167" t="s">
        <v>117</v>
      </c>
      <c r="H22" s="167">
        <v>163</v>
      </c>
      <c r="I22" s="167">
        <v>0</v>
      </c>
      <c r="J22" s="167">
        <v>0</v>
      </c>
      <c r="K22" s="257">
        <v>16396828</v>
      </c>
      <c r="L22" s="257">
        <v>819841.4</v>
      </c>
    </row>
    <row r="23" spans="1:12" x14ac:dyDescent="0.3">
      <c r="A23" s="166">
        <f t="shared" si="2"/>
        <v>16</v>
      </c>
      <c r="B23" s="167" t="s">
        <v>217</v>
      </c>
      <c r="C23" s="167" t="s">
        <v>205</v>
      </c>
      <c r="D23" s="167">
        <v>2</v>
      </c>
      <c r="E23" s="167" t="s">
        <v>114</v>
      </c>
      <c r="F23" s="167" t="s">
        <v>132</v>
      </c>
      <c r="G23" s="167" t="s">
        <v>117</v>
      </c>
      <c r="H23" s="167">
        <v>160</v>
      </c>
      <c r="I23" s="167">
        <v>0</v>
      </c>
      <c r="J23" s="167">
        <v>0</v>
      </c>
      <c r="K23" s="257">
        <v>15963155</v>
      </c>
      <c r="L23" s="257">
        <v>798157.75</v>
      </c>
    </row>
    <row r="24" spans="1:12" x14ac:dyDescent="0.3">
      <c r="A24" s="166">
        <f t="shared" si="2"/>
        <v>17</v>
      </c>
      <c r="B24" s="167" t="s">
        <v>218</v>
      </c>
      <c r="C24" s="167" t="s">
        <v>205</v>
      </c>
      <c r="D24" s="167">
        <v>2</v>
      </c>
      <c r="E24" s="167" t="s">
        <v>114</v>
      </c>
      <c r="F24" s="167" t="s">
        <v>133</v>
      </c>
      <c r="G24" s="167" t="s">
        <v>206</v>
      </c>
      <c r="H24" s="167">
        <v>96</v>
      </c>
      <c r="I24" s="167">
        <v>0</v>
      </c>
      <c r="J24" s="167">
        <v>0</v>
      </c>
      <c r="K24" s="257">
        <v>9657027</v>
      </c>
      <c r="L24" s="257">
        <v>482851.35</v>
      </c>
    </row>
    <row r="25" spans="1:12" x14ac:dyDescent="0.3">
      <c r="A25" s="166">
        <f t="shared" si="2"/>
        <v>18</v>
      </c>
      <c r="B25" s="167" t="s">
        <v>397</v>
      </c>
      <c r="C25" s="167" t="s">
        <v>205</v>
      </c>
      <c r="D25" s="167">
        <v>5</v>
      </c>
      <c r="E25" s="167" t="s">
        <v>114</v>
      </c>
      <c r="F25" s="167" t="s">
        <v>133</v>
      </c>
      <c r="G25" s="167" t="s">
        <v>206</v>
      </c>
      <c r="H25" s="167">
        <v>81</v>
      </c>
      <c r="I25" s="167">
        <v>0</v>
      </c>
      <c r="J25" s="167">
        <v>0</v>
      </c>
      <c r="K25" s="257">
        <v>7952341</v>
      </c>
      <c r="L25" s="257">
        <v>397617.05</v>
      </c>
    </row>
    <row r="26" spans="1:12" x14ac:dyDescent="0.3">
      <c r="A26" s="166">
        <f t="shared" si="2"/>
        <v>19</v>
      </c>
      <c r="B26" s="167" t="s">
        <v>219</v>
      </c>
      <c r="C26" s="167" t="s">
        <v>205</v>
      </c>
      <c r="D26" s="167">
        <v>5</v>
      </c>
      <c r="E26" s="167" t="s">
        <v>114</v>
      </c>
      <c r="F26" s="167" t="s">
        <v>131</v>
      </c>
      <c r="G26" s="167" t="s">
        <v>117</v>
      </c>
      <c r="H26" s="167">
        <v>170</v>
      </c>
      <c r="I26" s="167">
        <v>0</v>
      </c>
      <c r="J26" s="167">
        <v>0</v>
      </c>
      <c r="K26" s="257">
        <v>17290977</v>
      </c>
      <c r="L26" s="257">
        <v>864548.85</v>
      </c>
    </row>
    <row r="27" spans="1:12" x14ac:dyDescent="0.3">
      <c r="A27" s="166">
        <f t="shared" si="2"/>
        <v>20</v>
      </c>
      <c r="B27" s="167" t="s">
        <v>400</v>
      </c>
      <c r="C27" s="167" t="s">
        <v>200</v>
      </c>
      <c r="D27" s="167">
        <v>1</v>
      </c>
      <c r="E27" s="167" t="s">
        <v>114</v>
      </c>
      <c r="F27" s="167" t="s">
        <v>116</v>
      </c>
      <c r="G27" s="167" t="s">
        <v>117</v>
      </c>
      <c r="H27" s="167">
        <v>186</v>
      </c>
      <c r="I27" s="167">
        <v>0</v>
      </c>
      <c r="J27" s="167">
        <v>0</v>
      </c>
      <c r="K27" s="257">
        <v>22858305</v>
      </c>
      <c r="L27" s="257">
        <v>1142915.25</v>
      </c>
    </row>
    <row r="28" spans="1:12" x14ac:dyDescent="0.3">
      <c r="A28" s="166">
        <f t="shared" si="2"/>
        <v>21</v>
      </c>
      <c r="B28" s="167" t="s">
        <v>401</v>
      </c>
      <c r="C28" s="167" t="s">
        <v>200</v>
      </c>
      <c r="D28" s="167">
        <v>1</v>
      </c>
      <c r="E28" s="167" t="s">
        <v>114</v>
      </c>
      <c r="F28" s="167" t="s">
        <v>131</v>
      </c>
      <c r="G28" s="167" t="s">
        <v>117</v>
      </c>
      <c r="H28" s="167">
        <v>170</v>
      </c>
      <c r="I28" s="167">
        <v>0</v>
      </c>
      <c r="J28" s="167">
        <v>0</v>
      </c>
      <c r="K28" s="257">
        <v>20987031</v>
      </c>
      <c r="L28" s="257">
        <v>1049351.55</v>
      </c>
    </row>
    <row r="29" spans="1:12" x14ac:dyDescent="0.3">
      <c r="A29" s="166">
        <f t="shared" si="2"/>
        <v>22</v>
      </c>
      <c r="B29" s="167" t="s">
        <v>402</v>
      </c>
      <c r="C29" s="167" t="s">
        <v>202</v>
      </c>
      <c r="D29" s="167">
        <v>8</v>
      </c>
      <c r="E29" s="167" t="s">
        <v>114</v>
      </c>
      <c r="F29" s="167" t="s">
        <v>132</v>
      </c>
      <c r="G29" s="167" t="s">
        <v>117</v>
      </c>
      <c r="H29" s="167">
        <v>154</v>
      </c>
      <c r="I29" s="167">
        <v>0</v>
      </c>
      <c r="J29" s="167">
        <v>0</v>
      </c>
      <c r="K29" s="257">
        <v>19097869</v>
      </c>
      <c r="L29" s="257">
        <v>954893.45</v>
      </c>
    </row>
    <row r="30" spans="1:12" x14ac:dyDescent="0.3">
      <c r="A30" s="166">
        <f t="shared" si="2"/>
        <v>23</v>
      </c>
      <c r="B30" s="167" t="s">
        <v>478</v>
      </c>
      <c r="C30" s="167" t="s">
        <v>200</v>
      </c>
      <c r="D30" s="167">
        <v>3</v>
      </c>
      <c r="E30" s="167" t="s">
        <v>114</v>
      </c>
      <c r="F30" s="167" t="s">
        <v>133</v>
      </c>
      <c r="G30" s="167" t="s">
        <v>206</v>
      </c>
      <c r="H30" s="167">
        <v>100</v>
      </c>
      <c r="I30" s="167">
        <v>0</v>
      </c>
      <c r="J30" s="167">
        <v>0</v>
      </c>
      <c r="K30" s="257">
        <v>10167057</v>
      </c>
      <c r="L30" s="257">
        <v>508352.85</v>
      </c>
    </row>
    <row r="31" spans="1:12" x14ac:dyDescent="0.3">
      <c r="A31" s="166">
        <f t="shared" si="2"/>
        <v>24</v>
      </c>
      <c r="B31" s="167" t="s">
        <v>474</v>
      </c>
      <c r="C31" s="167" t="s">
        <v>202</v>
      </c>
      <c r="D31" s="167">
        <v>8</v>
      </c>
      <c r="E31" s="167" t="s">
        <v>114</v>
      </c>
      <c r="F31" s="167" t="s">
        <v>132</v>
      </c>
      <c r="G31" s="167" t="s">
        <v>115</v>
      </c>
      <c r="H31" s="167">
        <v>126</v>
      </c>
      <c r="I31" s="167">
        <v>0</v>
      </c>
      <c r="J31" s="167">
        <v>0</v>
      </c>
      <c r="K31" s="257">
        <v>14000006</v>
      </c>
      <c r="L31" s="257">
        <v>700000.3</v>
      </c>
    </row>
    <row r="32" spans="1:12" x14ac:dyDescent="0.3">
      <c r="A32" s="166">
        <f t="shared" si="2"/>
        <v>25</v>
      </c>
      <c r="B32" s="167" t="s">
        <v>507</v>
      </c>
      <c r="C32" s="167" t="s">
        <v>205</v>
      </c>
      <c r="D32" s="167">
        <v>4</v>
      </c>
      <c r="E32" s="167" t="s">
        <v>207</v>
      </c>
      <c r="F32" s="167" t="s">
        <v>134</v>
      </c>
      <c r="G32" s="167" t="s">
        <v>208</v>
      </c>
      <c r="H32" s="167">
        <v>215</v>
      </c>
      <c r="I32" s="167">
        <v>0</v>
      </c>
      <c r="J32" s="167">
        <v>54</v>
      </c>
      <c r="K32" s="257">
        <v>23861850</v>
      </c>
      <c r="L32" s="257">
        <v>1193092.5</v>
      </c>
    </row>
    <row r="33" spans="1:12" x14ac:dyDescent="0.3">
      <c r="A33" s="166">
        <f t="shared" si="2"/>
        <v>26</v>
      </c>
      <c r="B33" s="167" t="s">
        <v>475</v>
      </c>
      <c r="C33" s="167" t="s">
        <v>200</v>
      </c>
      <c r="D33" s="167">
        <v>1</v>
      </c>
      <c r="E33" s="167" t="s">
        <v>114</v>
      </c>
      <c r="F33" s="167" t="s">
        <v>116</v>
      </c>
      <c r="G33" s="167" t="s">
        <v>115</v>
      </c>
      <c r="H33" s="167">
        <v>110</v>
      </c>
      <c r="I33" s="167">
        <v>0</v>
      </c>
      <c r="J33" s="167">
        <v>0</v>
      </c>
      <c r="K33" s="257">
        <v>11654040</v>
      </c>
      <c r="L33" s="257">
        <v>582702</v>
      </c>
    </row>
    <row r="34" spans="1:12" x14ac:dyDescent="0.3">
      <c r="A34" s="166">
        <f t="shared" si="2"/>
        <v>27</v>
      </c>
      <c r="B34" s="167" t="s">
        <v>403</v>
      </c>
      <c r="C34" s="167" t="s">
        <v>202</v>
      </c>
      <c r="D34" s="167">
        <v>8</v>
      </c>
      <c r="E34" s="167" t="s">
        <v>207</v>
      </c>
      <c r="F34" s="167" t="s">
        <v>134</v>
      </c>
      <c r="G34" s="167" t="s">
        <v>117</v>
      </c>
      <c r="H34" s="167">
        <v>176</v>
      </c>
      <c r="I34" s="167">
        <v>0</v>
      </c>
      <c r="J34" s="167">
        <v>36</v>
      </c>
      <c r="K34" s="257">
        <v>22825724</v>
      </c>
      <c r="L34" s="257">
        <v>1141286.2</v>
      </c>
    </row>
    <row r="35" spans="1:12" ht="23.4" customHeight="1" thickBot="1" x14ac:dyDescent="0.35">
      <c r="A35" s="160"/>
      <c r="B35" s="165"/>
      <c r="C35" s="161"/>
      <c r="D35" s="161"/>
      <c r="E35" s="161"/>
      <c r="F35" s="161"/>
      <c r="G35" s="161"/>
      <c r="H35" s="161"/>
      <c r="I35" s="161"/>
      <c r="J35" s="161"/>
      <c r="K35" s="258"/>
      <c r="L35" s="161"/>
    </row>
    <row r="39" spans="1:12" x14ac:dyDescent="0.3">
      <c r="B39" s="169"/>
    </row>
    <row r="40" spans="1:12" x14ac:dyDescent="0.3">
      <c r="B40" s="170"/>
    </row>
    <row r="41" spans="1:12" x14ac:dyDescent="0.3">
      <c r="B41" s="183"/>
      <c r="C41" s="184"/>
      <c r="K41" s="172"/>
      <c r="L41" s="172"/>
    </row>
    <row r="42" spans="1:12" x14ac:dyDescent="0.3">
      <c r="B42" s="184"/>
      <c r="C42" s="184"/>
      <c r="K42" s="172"/>
      <c r="L42" s="172"/>
    </row>
    <row r="43" spans="1:12" x14ac:dyDescent="0.3">
      <c r="B43" s="184"/>
      <c r="K43" s="172"/>
      <c r="L43" s="172"/>
    </row>
    <row r="44" spans="1:12" x14ac:dyDescent="0.3">
      <c r="B44" s="184"/>
      <c r="K44" s="172"/>
      <c r="L44" s="172"/>
    </row>
    <row r="45" spans="1:12" x14ac:dyDescent="0.3">
      <c r="B45" s="184"/>
      <c r="K45" s="172"/>
      <c r="L45" s="172"/>
    </row>
    <row r="46" spans="1:12" x14ac:dyDescent="0.3">
      <c r="B46" s="184"/>
      <c r="K46" s="172"/>
      <c r="L46" s="172"/>
    </row>
    <row r="47" spans="1:12" x14ac:dyDescent="0.3">
      <c r="B47" s="184"/>
      <c r="K47" s="172"/>
      <c r="L47" s="172"/>
    </row>
    <row r="48" spans="1:12" x14ac:dyDescent="0.3">
      <c r="B48" s="184"/>
      <c r="K48" s="172"/>
      <c r="L48" s="172"/>
    </row>
    <row r="49" spans="2:12" x14ac:dyDescent="0.3">
      <c r="B49" s="184"/>
      <c r="K49" s="172"/>
      <c r="L49" s="172"/>
    </row>
    <row r="50" spans="2:12" x14ac:dyDescent="0.3">
      <c r="B50" s="184"/>
      <c r="K50" s="172"/>
      <c r="L50" s="172"/>
    </row>
    <row r="51" spans="2:12" x14ac:dyDescent="0.3">
      <c r="B51" s="184"/>
      <c r="K51" s="172"/>
      <c r="L51" s="172"/>
    </row>
    <row r="52" spans="2:12" x14ac:dyDescent="0.3">
      <c r="B52" s="184"/>
      <c r="K52" s="172"/>
      <c r="L52" s="172"/>
    </row>
    <row r="53" spans="2:12" x14ac:dyDescent="0.3">
      <c r="B53" s="184"/>
      <c r="K53" s="172"/>
      <c r="L53" s="172"/>
    </row>
    <row r="54" spans="2:12" x14ac:dyDescent="0.3">
      <c r="B54" s="184"/>
      <c r="K54" s="172"/>
      <c r="L54" s="172"/>
    </row>
    <row r="55" spans="2:12" x14ac:dyDescent="0.3">
      <c r="B55" s="184"/>
      <c r="K55" s="172"/>
      <c r="L55" s="172"/>
    </row>
    <row r="56" spans="2:12" x14ac:dyDescent="0.3">
      <c r="B56" s="184"/>
      <c r="K56" s="172"/>
      <c r="L56" s="172"/>
    </row>
    <row r="57" spans="2:12" x14ac:dyDescent="0.3">
      <c r="B57" s="184"/>
      <c r="K57" s="172"/>
      <c r="L57" s="172"/>
    </row>
    <row r="58" spans="2:12" x14ac:dyDescent="0.3">
      <c r="B58" s="184"/>
      <c r="K58" s="172"/>
      <c r="L58" s="172"/>
    </row>
    <row r="59" spans="2:12" x14ac:dyDescent="0.3">
      <c r="B59" s="184"/>
      <c r="K59" s="172"/>
      <c r="L59" s="172"/>
    </row>
    <row r="60" spans="2:12" x14ac:dyDescent="0.3">
      <c r="B60" s="184"/>
      <c r="K60" s="172"/>
      <c r="L60" s="172"/>
    </row>
    <row r="61" spans="2:12" x14ac:dyDescent="0.3">
      <c r="B61" s="184"/>
      <c r="K61" s="172"/>
      <c r="L61" s="172"/>
    </row>
    <row r="62" spans="2:12" x14ac:dyDescent="0.3">
      <c r="B62" s="184"/>
      <c r="K62" s="172"/>
      <c r="L62" s="172"/>
    </row>
    <row r="63" spans="2:12" x14ac:dyDescent="0.3">
      <c r="B63" s="184"/>
      <c r="K63" s="172"/>
      <c r="L63" s="172"/>
    </row>
    <row r="64" spans="2:12" x14ac:dyDescent="0.3">
      <c r="B64" s="184"/>
      <c r="K64" s="172"/>
      <c r="L64" s="172"/>
    </row>
    <row r="65" spans="2:12" x14ac:dyDescent="0.3">
      <c r="B65" s="184"/>
      <c r="K65" s="172"/>
      <c r="L65" s="172"/>
    </row>
    <row r="66" spans="2:12" x14ac:dyDescent="0.3">
      <c r="B66" s="184"/>
      <c r="K66" s="172"/>
      <c r="L66" s="172"/>
    </row>
    <row r="67" spans="2:12" x14ac:dyDescent="0.3">
      <c r="B67" s="184"/>
      <c r="K67" s="172"/>
      <c r="L67" s="172"/>
    </row>
    <row r="68" spans="2:12" x14ac:dyDescent="0.3">
      <c r="B68" s="184"/>
      <c r="K68" s="172"/>
      <c r="L68" s="172"/>
    </row>
    <row r="69" spans="2:12" x14ac:dyDescent="0.3">
      <c r="B69" s="184"/>
      <c r="K69" s="172"/>
      <c r="L69" s="172"/>
    </row>
    <row r="70" spans="2:12" x14ac:dyDescent="0.3">
      <c r="B70" s="184"/>
    </row>
    <row r="71" spans="2:12" x14ac:dyDescent="0.3">
      <c r="B71" s="184"/>
    </row>
    <row r="72" spans="2:12" x14ac:dyDescent="0.3">
      <c r="B72" s="184"/>
    </row>
    <row r="73" spans="2:12" x14ac:dyDescent="0.3">
      <c r="B73" s="184"/>
    </row>
    <row r="74" spans="2:12" x14ac:dyDescent="0.3">
      <c r="B74" s="184"/>
    </row>
    <row r="75" spans="2:12" x14ac:dyDescent="0.3">
      <c r="B75" s="184"/>
    </row>
    <row r="76" spans="2:12" x14ac:dyDescent="0.3">
      <c r="B76" s="184"/>
    </row>
    <row r="77" spans="2:12" x14ac:dyDescent="0.3">
      <c r="B77" s="184"/>
    </row>
    <row r="78" spans="2:12" x14ac:dyDescent="0.3">
      <c r="B78" s="184"/>
    </row>
    <row r="79" spans="2:12" x14ac:dyDescent="0.3">
      <c r="B79" s="184"/>
    </row>
    <row r="80" spans="2:12" x14ac:dyDescent="0.3">
      <c r="B80" s="184"/>
    </row>
    <row r="81" spans="2:2" x14ac:dyDescent="0.3">
      <c r="B81" s="184"/>
    </row>
    <row r="82" spans="2:2" x14ac:dyDescent="0.3">
      <c r="B82" s="184"/>
    </row>
    <row r="83" spans="2:2" x14ac:dyDescent="0.3">
      <c r="B83" s="184"/>
    </row>
    <row r="84" spans="2:2" x14ac:dyDescent="0.3">
      <c r="B84" s="184"/>
    </row>
    <row r="85" spans="2:2" x14ac:dyDescent="0.3">
      <c r="B85" s="184"/>
    </row>
    <row r="86" spans="2:2" x14ac:dyDescent="0.3">
      <c r="B86" s="184"/>
    </row>
    <row r="87" spans="2:2" x14ac:dyDescent="0.3">
      <c r="B87" s="184"/>
    </row>
    <row r="88" spans="2:2" x14ac:dyDescent="0.3">
      <c r="B88" s="184"/>
    </row>
    <row r="89" spans="2:2" x14ac:dyDescent="0.3">
      <c r="B89" s="184"/>
    </row>
    <row r="90" spans="2:2" x14ac:dyDescent="0.3">
      <c r="B90" s="184"/>
    </row>
    <row r="91" spans="2:2" x14ac:dyDescent="0.3">
      <c r="B91" s="184"/>
    </row>
    <row r="92" spans="2:2" x14ac:dyDescent="0.3">
      <c r="B92" s="184"/>
    </row>
    <row r="93" spans="2:2" x14ac:dyDescent="0.3">
      <c r="B93" s="184"/>
    </row>
    <row r="94" spans="2:2" x14ac:dyDescent="0.3">
      <c r="B94" s="184"/>
    </row>
    <row r="95" spans="2:2" x14ac:dyDescent="0.3">
      <c r="B95" s="184"/>
    </row>
    <row r="96" spans="2:2" x14ac:dyDescent="0.3">
      <c r="B96" s="184"/>
    </row>
    <row r="97" spans="2:2" x14ac:dyDescent="0.3">
      <c r="B97" s="184"/>
    </row>
    <row r="98" spans="2:2" x14ac:dyDescent="0.3">
      <c r="B98" s="184"/>
    </row>
    <row r="99" spans="2:2" x14ac:dyDescent="0.3">
      <c r="B99" s="184"/>
    </row>
    <row r="100" spans="2:2" x14ac:dyDescent="0.3">
      <c r="B100" s="184"/>
    </row>
    <row r="101" spans="2:2" x14ac:dyDescent="0.3">
      <c r="B101" s="184"/>
    </row>
    <row r="102" spans="2:2" x14ac:dyDescent="0.3">
      <c r="B102" s="184"/>
    </row>
    <row r="103" spans="2:2" x14ac:dyDescent="0.3">
      <c r="B103" s="184"/>
    </row>
    <row r="104" spans="2:2" x14ac:dyDescent="0.3">
      <c r="B104" s="184"/>
    </row>
    <row r="105" spans="2:2" x14ac:dyDescent="0.3">
      <c r="B105" s="184"/>
    </row>
    <row r="106" spans="2:2" x14ac:dyDescent="0.3">
      <c r="B106" s="184"/>
    </row>
    <row r="107" spans="2:2" x14ac:dyDescent="0.3">
      <c r="B107" s="184"/>
    </row>
    <row r="108" spans="2:2" x14ac:dyDescent="0.3">
      <c r="B108" s="184"/>
    </row>
    <row r="109" spans="2:2" x14ac:dyDescent="0.3">
      <c r="B109" s="184"/>
    </row>
    <row r="110" spans="2:2" x14ac:dyDescent="0.3">
      <c r="B110" s="184"/>
    </row>
    <row r="111" spans="2:2" x14ac:dyDescent="0.3">
      <c r="B111" s="184"/>
    </row>
    <row r="112" spans="2:2" x14ac:dyDescent="0.3">
      <c r="B112" s="184"/>
    </row>
    <row r="113" spans="2:2" x14ac:dyDescent="0.3">
      <c r="B113" s="184"/>
    </row>
    <row r="114" spans="2:2" x14ac:dyDescent="0.3">
      <c r="B114" s="184"/>
    </row>
    <row r="115" spans="2:2" x14ac:dyDescent="0.3">
      <c r="B115" s="184"/>
    </row>
    <row r="116" spans="2:2" x14ac:dyDescent="0.3">
      <c r="B116" s="184"/>
    </row>
    <row r="117" spans="2:2" x14ac:dyDescent="0.3">
      <c r="B117" s="184"/>
    </row>
    <row r="118" spans="2:2" x14ac:dyDescent="0.3">
      <c r="B118" s="184"/>
    </row>
    <row r="119" spans="2:2" x14ac:dyDescent="0.3">
      <c r="B119" s="184"/>
    </row>
    <row r="120" spans="2:2" x14ac:dyDescent="0.3">
      <c r="B120" s="184"/>
    </row>
    <row r="121" spans="2:2" x14ac:dyDescent="0.3">
      <c r="B121" s="184"/>
    </row>
    <row r="122" spans="2:2" x14ac:dyDescent="0.3">
      <c r="B122" s="184"/>
    </row>
    <row r="123" spans="2:2" x14ac:dyDescent="0.3">
      <c r="B123" s="184"/>
    </row>
    <row r="124" spans="2:2" x14ac:dyDescent="0.3">
      <c r="B124" s="184"/>
    </row>
    <row r="125" spans="2:2" x14ac:dyDescent="0.3">
      <c r="B125" s="184"/>
    </row>
    <row r="126" spans="2:2" x14ac:dyDescent="0.3">
      <c r="B126" s="184"/>
    </row>
    <row r="127" spans="2:2" x14ac:dyDescent="0.3">
      <c r="B127" s="184"/>
    </row>
    <row r="128" spans="2:2" x14ac:dyDescent="0.3">
      <c r="B128" s="184"/>
    </row>
    <row r="129" spans="2:2" x14ac:dyDescent="0.3">
      <c r="B129" s="184"/>
    </row>
    <row r="130" spans="2:2" x14ac:dyDescent="0.3">
      <c r="B130" s="184"/>
    </row>
    <row r="131" spans="2:2" x14ac:dyDescent="0.3">
      <c r="B131" s="184"/>
    </row>
    <row r="132" spans="2:2" x14ac:dyDescent="0.3">
      <c r="B132" s="184"/>
    </row>
    <row r="133" spans="2:2" x14ac:dyDescent="0.3">
      <c r="B133" s="184"/>
    </row>
    <row r="134" spans="2:2" x14ac:dyDescent="0.3">
      <c r="B134" s="184"/>
    </row>
    <row r="135" spans="2:2" x14ac:dyDescent="0.3">
      <c r="B135" s="184"/>
    </row>
    <row r="136" spans="2:2" x14ac:dyDescent="0.3">
      <c r="B136" s="184"/>
    </row>
    <row r="137" spans="2:2" x14ac:dyDescent="0.3">
      <c r="B137" s="184"/>
    </row>
    <row r="138" spans="2:2" x14ac:dyDescent="0.3">
      <c r="B138" s="184"/>
    </row>
    <row r="139" spans="2:2" x14ac:dyDescent="0.3">
      <c r="B139" s="184"/>
    </row>
    <row r="140" spans="2:2" x14ac:dyDescent="0.3">
      <c r="B140" s="184"/>
    </row>
    <row r="141" spans="2:2" x14ac:dyDescent="0.3">
      <c r="B141" s="184"/>
    </row>
    <row r="142" spans="2:2" x14ac:dyDescent="0.3">
      <c r="B142" s="184"/>
    </row>
    <row r="143" spans="2:2" x14ac:dyDescent="0.3">
      <c r="B143" s="184"/>
    </row>
    <row r="144" spans="2:2" x14ac:dyDescent="0.3">
      <c r="B144" s="184"/>
    </row>
    <row r="145" spans="2:2" x14ac:dyDescent="0.3">
      <c r="B145" s="184"/>
    </row>
    <row r="146" spans="2:2" x14ac:dyDescent="0.3">
      <c r="B146" s="184"/>
    </row>
    <row r="147" spans="2:2" x14ac:dyDescent="0.3">
      <c r="B147" s="184"/>
    </row>
    <row r="148" spans="2:2" x14ac:dyDescent="0.3">
      <c r="B148" s="184"/>
    </row>
    <row r="149" spans="2:2" x14ac:dyDescent="0.3">
      <c r="B149" s="184"/>
    </row>
    <row r="150" spans="2:2" x14ac:dyDescent="0.3">
      <c r="B150" s="184"/>
    </row>
    <row r="151" spans="2:2" x14ac:dyDescent="0.3">
      <c r="B151" s="184"/>
    </row>
    <row r="152" spans="2:2" x14ac:dyDescent="0.3">
      <c r="B152" s="184"/>
    </row>
    <row r="153" spans="2:2" x14ac:dyDescent="0.3">
      <c r="B153" s="184"/>
    </row>
    <row r="154" spans="2:2" x14ac:dyDescent="0.3">
      <c r="B154" s="184"/>
    </row>
    <row r="155" spans="2:2" x14ac:dyDescent="0.3">
      <c r="B155" s="184"/>
    </row>
    <row r="156" spans="2:2" x14ac:dyDescent="0.3">
      <c r="B156" s="184"/>
    </row>
    <row r="157" spans="2:2" x14ac:dyDescent="0.3">
      <c r="B157" s="184"/>
    </row>
    <row r="158" spans="2:2" x14ac:dyDescent="0.3">
      <c r="B158" s="184"/>
    </row>
    <row r="159" spans="2:2" x14ac:dyDescent="0.3">
      <c r="B159" s="184"/>
    </row>
    <row r="160" spans="2:2" x14ac:dyDescent="0.3">
      <c r="B160" s="184"/>
    </row>
    <row r="161" spans="2:2" x14ac:dyDescent="0.3">
      <c r="B161" s="184"/>
    </row>
    <row r="162" spans="2:2" x14ac:dyDescent="0.3">
      <c r="B162" s="184"/>
    </row>
    <row r="163" spans="2:2" x14ac:dyDescent="0.3">
      <c r="B163" s="184"/>
    </row>
    <row r="164" spans="2:2" x14ac:dyDescent="0.3">
      <c r="B164" s="184"/>
    </row>
    <row r="165" spans="2:2" x14ac:dyDescent="0.3">
      <c r="B165" s="184"/>
    </row>
    <row r="166" spans="2:2" x14ac:dyDescent="0.3">
      <c r="B166" s="184"/>
    </row>
    <row r="167" spans="2:2" x14ac:dyDescent="0.3">
      <c r="B167" s="184"/>
    </row>
    <row r="168" spans="2:2" x14ac:dyDescent="0.3">
      <c r="B168" s="184"/>
    </row>
    <row r="169" spans="2:2" x14ac:dyDescent="0.3">
      <c r="B169" s="184"/>
    </row>
    <row r="170" spans="2:2" x14ac:dyDescent="0.3">
      <c r="B170" s="184"/>
    </row>
    <row r="171" spans="2:2" x14ac:dyDescent="0.3">
      <c r="B171" s="184"/>
    </row>
    <row r="172" spans="2:2" x14ac:dyDescent="0.3">
      <c r="B172" s="184"/>
    </row>
    <row r="173" spans="2:2" x14ac:dyDescent="0.3">
      <c r="B173" s="184"/>
    </row>
    <row r="174" spans="2:2" x14ac:dyDescent="0.3">
      <c r="B174" s="184"/>
    </row>
    <row r="175" spans="2:2" x14ac:dyDescent="0.3">
      <c r="B175" s="184"/>
    </row>
    <row r="176" spans="2:2" x14ac:dyDescent="0.3">
      <c r="B176" s="184"/>
    </row>
    <row r="177" spans="2:2" x14ac:dyDescent="0.3">
      <c r="B177" s="184"/>
    </row>
    <row r="178" spans="2:2" x14ac:dyDescent="0.3">
      <c r="B178" s="184"/>
    </row>
    <row r="179" spans="2:2" x14ac:dyDescent="0.3">
      <c r="B179" s="184"/>
    </row>
    <row r="180" spans="2:2" x14ac:dyDescent="0.3">
      <c r="B180" s="184"/>
    </row>
    <row r="181" spans="2:2" x14ac:dyDescent="0.3">
      <c r="B181" s="184"/>
    </row>
    <row r="182" spans="2:2" x14ac:dyDescent="0.3">
      <c r="B182" s="184"/>
    </row>
    <row r="183" spans="2:2" x14ac:dyDescent="0.3">
      <c r="B183" s="184"/>
    </row>
    <row r="184" spans="2:2" x14ac:dyDescent="0.3">
      <c r="B184" s="184"/>
    </row>
    <row r="185" spans="2:2" x14ac:dyDescent="0.3">
      <c r="B185" s="184"/>
    </row>
    <row r="186" spans="2:2" x14ac:dyDescent="0.3">
      <c r="B186" s="184"/>
    </row>
    <row r="187" spans="2:2" x14ac:dyDescent="0.3">
      <c r="B187" s="184"/>
    </row>
    <row r="188" spans="2:2" x14ac:dyDescent="0.3">
      <c r="B188" s="184"/>
    </row>
    <row r="189" spans="2:2" x14ac:dyDescent="0.3">
      <c r="B189" s="184"/>
    </row>
    <row r="190" spans="2:2" x14ac:dyDescent="0.3">
      <c r="B190" s="184"/>
    </row>
    <row r="191" spans="2:2" x14ac:dyDescent="0.3">
      <c r="B191" s="184"/>
    </row>
    <row r="192" spans="2:2" x14ac:dyDescent="0.3">
      <c r="B192" s="184"/>
    </row>
    <row r="193" spans="2:2" x14ac:dyDescent="0.3">
      <c r="B193" s="184"/>
    </row>
    <row r="194" spans="2:2" x14ac:dyDescent="0.3">
      <c r="B194" s="184"/>
    </row>
    <row r="195" spans="2:2" x14ac:dyDescent="0.3">
      <c r="B195" s="184"/>
    </row>
    <row r="196" spans="2:2" x14ac:dyDescent="0.3">
      <c r="B196" s="184"/>
    </row>
    <row r="197" spans="2:2" x14ac:dyDescent="0.3">
      <c r="B197" s="184"/>
    </row>
    <row r="198" spans="2:2" x14ac:dyDescent="0.3">
      <c r="B198" s="184"/>
    </row>
    <row r="199" spans="2:2" x14ac:dyDescent="0.3">
      <c r="B199" s="184"/>
    </row>
    <row r="200" spans="2:2" x14ac:dyDescent="0.3">
      <c r="B200" s="184"/>
    </row>
    <row r="201" spans="2:2" x14ac:dyDescent="0.3">
      <c r="B201" s="184"/>
    </row>
    <row r="202" spans="2:2" x14ac:dyDescent="0.3">
      <c r="B202" s="184"/>
    </row>
    <row r="203" spans="2:2" x14ac:dyDescent="0.3">
      <c r="B203" s="184"/>
    </row>
    <row r="204" spans="2:2" x14ac:dyDescent="0.3">
      <c r="B204" s="184"/>
    </row>
    <row r="205" spans="2:2" x14ac:dyDescent="0.3">
      <c r="B205" s="184"/>
    </row>
    <row r="206" spans="2:2" x14ac:dyDescent="0.3">
      <c r="B206" s="184"/>
    </row>
    <row r="207" spans="2:2" x14ac:dyDescent="0.3">
      <c r="B207" s="184"/>
    </row>
    <row r="208" spans="2:2" x14ac:dyDescent="0.3">
      <c r="B208" s="184"/>
    </row>
    <row r="209" spans="2:2" x14ac:dyDescent="0.3">
      <c r="B209" s="184"/>
    </row>
    <row r="210" spans="2:2" x14ac:dyDescent="0.3">
      <c r="B210" s="184"/>
    </row>
    <row r="211" spans="2:2" x14ac:dyDescent="0.3">
      <c r="B211" s="184"/>
    </row>
    <row r="212" spans="2:2" x14ac:dyDescent="0.3">
      <c r="B212" s="184"/>
    </row>
    <row r="213" spans="2:2" x14ac:dyDescent="0.3">
      <c r="B213" s="184"/>
    </row>
    <row r="214" spans="2:2" x14ac:dyDescent="0.3">
      <c r="B214" s="184"/>
    </row>
    <row r="215" spans="2:2" x14ac:dyDescent="0.3">
      <c r="B215" s="184"/>
    </row>
    <row r="216" spans="2:2" x14ac:dyDescent="0.3">
      <c r="B216" s="184"/>
    </row>
    <row r="217" spans="2:2" x14ac:dyDescent="0.3">
      <c r="B217" s="184"/>
    </row>
    <row r="218" spans="2:2" x14ac:dyDescent="0.3">
      <c r="B218" s="184"/>
    </row>
    <row r="219" spans="2:2" x14ac:dyDescent="0.3">
      <c r="B219" s="184"/>
    </row>
    <row r="220" spans="2:2" x14ac:dyDescent="0.3">
      <c r="B220" s="184"/>
    </row>
    <row r="221" spans="2:2" x14ac:dyDescent="0.3">
      <c r="B221" s="184"/>
    </row>
    <row r="222" spans="2:2" x14ac:dyDescent="0.3">
      <c r="B222" s="184"/>
    </row>
    <row r="223" spans="2:2" x14ac:dyDescent="0.3">
      <c r="B223" s="184"/>
    </row>
    <row r="224" spans="2:2" x14ac:dyDescent="0.3">
      <c r="B224" s="184"/>
    </row>
    <row r="225" spans="2:2" x14ac:dyDescent="0.3">
      <c r="B225" s="184"/>
    </row>
    <row r="226" spans="2:2" x14ac:dyDescent="0.3">
      <c r="B226" s="184"/>
    </row>
    <row r="227" spans="2:2" x14ac:dyDescent="0.3">
      <c r="B227" s="184"/>
    </row>
    <row r="228" spans="2:2" x14ac:dyDescent="0.3">
      <c r="B228" s="184"/>
    </row>
    <row r="229" spans="2:2" x14ac:dyDescent="0.3">
      <c r="B229" s="184"/>
    </row>
    <row r="230" spans="2:2" x14ac:dyDescent="0.3">
      <c r="B230" s="184"/>
    </row>
    <row r="231" spans="2:2" x14ac:dyDescent="0.3">
      <c r="B231" s="184"/>
    </row>
    <row r="232" spans="2:2" x14ac:dyDescent="0.3">
      <c r="B232" s="184"/>
    </row>
    <row r="233" spans="2:2" x14ac:dyDescent="0.3">
      <c r="B233" s="184"/>
    </row>
    <row r="234" spans="2:2" x14ac:dyDescent="0.3">
      <c r="B234" s="184"/>
    </row>
    <row r="235" spans="2:2" x14ac:dyDescent="0.3">
      <c r="B235" s="184"/>
    </row>
    <row r="236" spans="2:2" x14ac:dyDescent="0.3">
      <c r="B236" s="184"/>
    </row>
    <row r="237" spans="2:2" x14ac:dyDescent="0.3">
      <c r="B237" s="184"/>
    </row>
    <row r="238" spans="2:2" x14ac:dyDescent="0.3">
      <c r="B238" s="173"/>
    </row>
    <row r="239" spans="2:2" x14ac:dyDescent="0.3">
      <c r="B239" s="173"/>
    </row>
    <row r="240" spans="2:2" x14ac:dyDescent="0.3">
      <c r="B240" s="173"/>
    </row>
    <row r="241" spans="2:2" x14ac:dyDescent="0.3">
      <c r="B241" s="173"/>
    </row>
    <row r="242" spans="2:2" x14ac:dyDescent="0.3">
      <c r="B242" s="173"/>
    </row>
    <row r="243" spans="2:2" x14ac:dyDescent="0.3">
      <c r="B243" s="173"/>
    </row>
    <row r="244" spans="2:2" x14ac:dyDescent="0.3">
      <c r="B244" s="173"/>
    </row>
    <row r="245" spans="2:2" x14ac:dyDescent="0.3">
      <c r="B245" s="173"/>
    </row>
    <row r="246" spans="2:2" x14ac:dyDescent="0.3">
      <c r="B246" s="173"/>
    </row>
    <row r="247" spans="2:2" x14ac:dyDescent="0.3">
      <c r="B247" s="173"/>
    </row>
    <row r="248" spans="2:2" x14ac:dyDescent="0.3">
      <c r="B248" s="173"/>
    </row>
    <row r="249" spans="2:2" x14ac:dyDescent="0.3">
      <c r="B249" s="173"/>
    </row>
    <row r="250" spans="2:2" x14ac:dyDescent="0.3">
      <c r="B250" s="173"/>
    </row>
    <row r="251" spans="2:2" x14ac:dyDescent="0.3">
      <c r="B251" s="173"/>
    </row>
    <row r="252" spans="2:2" x14ac:dyDescent="0.3">
      <c r="B252" s="173"/>
    </row>
    <row r="253" spans="2:2" x14ac:dyDescent="0.3">
      <c r="B253" s="173"/>
    </row>
    <row r="254" spans="2:2" x14ac:dyDescent="0.3">
      <c r="B254" s="173"/>
    </row>
    <row r="255" spans="2:2" x14ac:dyDescent="0.3">
      <c r="B255" s="173"/>
    </row>
    <row r="256" spans="2:2" x14ac:dyDescent="0.3">
      <c r="B256" s="173"/>
    </row>
    <row r="257" spans="2:2" x14ac:dyDescent="0.3">
      <c r="B257" s="173"/>
    </row>
    <row r="258" spans="2:2" x14ac:dyDescent="0.3">
      <c r="B258" s="173"/>
    </row>
    <row r="259" spans="2:2" x14ac:dyDescent="0.3">
      <c r="B259" s="173"/>
    </row>
    <row r="260" spans="2:2" x14ac:dyDescent="0.3">
      <c r="B260" s="173"/>
    </row>
    <row r="261" spans="2:2" x14ac:dyDescent="0.3">
      <c r="B261" s="173"/>
    </row>
    <row r="262" spans="2:2" x14ac:dyDescent="0.3">
      <c r="B262" s="173"/>
    </row>
    <row r="263" spans="2:2" x14ac:dyDescent="0.3">
      <c r="B263" s="173"/>
    </row>
    <row r="264" spans="2:2" x14ac:dyDescent="0.3">
      <c r="B264" s="173"/>
    </row>
    <row r="265" spans="2:2" x14ac:dyDescent="0.3">
      <c r="B265" s="173"/>
    </row>
    <row r="266" spans="2:2" x14ac:dyDescent="0.3">
      <c r="B266" s="173"/>
    </row>
    <row r="267" spans="2:2" x14ac:dyDescent="0.3">
      <c r="B267" s="173"/>
    </row>
    <row r="268" spans="2:2" x14ac:dyDescent="0.3">
      <c r="B268" s="173"/>
    </row>
    <row r="269" spans="2:2" x14ac:dyDescent="0.3">
      <c r="B269" s="173"/>
    </row>
    <row r="270" spans="2:2" x14ac:dyDescent="0.3">
      <c r="B270" s="173"/>
    </row>
    <row r="271" spans="2:2" x14ac:dyDescent="0.3">
      <c r="B271" s="173"/>
    </row>
    <row r="272" spans="2:2" x14ac:dyDescent="0.3">
      <c r="B272" s="173"/>
    </row>
    <row r="273" spans="2:2" x14ac:dyDescent="0.3">
      <c r="B273" s="173"/>
    </row>
    <row r="274" spans="2:2" x14ac:dyDescent="0.3">
      <c r="B274" s="173"/>
    </row>
    <row r="275" spans="2:2" x14ac:dyDescent="0.3">
      <c r="B275" s="173"/>
    </row>
    <row r="276" spans="2:2" x14ac:dyDescent="0.3">
      <c r="B276" s="173"/>
    </row>
    <row r="277" spans="2:2" x14ac:dyDescent="0.3">
      <c r="B277" s="173"/>
    </row>
    <row r="278" spans="2:2" x14ac:dyDescent="0.3">
      <c r="B278" s="173"/>
    </row>
    <row r="279" spans="2:2" x14ac:dyDescent="0.3">
      <c r="B279" s="173"/>
    </row>
    <row r="280" spans="2:2" x14ac:dyDescent="0.3">
      <c r="B280" s="173"/>
    </row>
  </sheetData>
  <mergeCells count="3">
    <mergeCell ref="A1:L4"/>
    <mergeCell ref="K6:L6"/>
    <mergeCell ref="A5:J6"/>
  </mergeCells>
  <conditionalFormatting sqref="B1:B4 B7:B1048576">
    <cfRule type="duplicateValues" dxfId="422" priority="11"/>
    <cfRule type="duplicateValues" dxfId="421" priority="12"/>
  </conditionalFormatting>
  <conditionalFormatting sqref="B1:B1048576">
    <cfRule type="duplicateValues" dxfId="420" priority="5"/>
  </conditionalFormatting>
  <conditionalFormatting sqref="B7:B34">
    <cfRule type="duplicateValues" dxfId="419" priority="9118"/>
  </conditionalFormatting>
  <conditionalFormatting sqref="B41:B827">
    <cfRule type="duplicateValues" dxfId="418" priority="10"/>
  </conditionalFormatting>
  <conditionalFormatting sqref="B238:B1048576 B1:B4 B7:B40">
    <cfRule type="duplicateValues" dxfId="417" priority="13"/>
  </conditionalFormatting>
  <conditionalFormatting sqref="B281:B1048576 B1:B4 B7:B40">
    <cfRule type="duplicateValues" dxfId="416" priority="14"/>
  </conditionalFormatting>
  <conditionalFormatting sqref="C41:C42">
    <cfRule type="duplicateValues" dxfId="415" priority="1"/>
    <cfRule type="duplicateValues" dxfId="414" priority="2"/>
    <cfRule type="duplicateValues" dxfId="413" priority="3"/>
    <cfRule type="duplicateValues" dxfId="412" priority="4"/>
  </conditionalFormatting>
  <conditionalFormatting sqref="K35">
    <cfRule type="duplicateValues" dxfId="411" priority="6"/>
    <cfRule type="duplicateValues" dxfId="410" priority="7"/>
    <cfRule type="duplicateValues" dxfId="409" priority="8"/>
    <cfRule type="duplicateValues" dxfId="408" priority="9"/>
  </conditionalFormatting>
  <printOptions horizontalCentered="1"/>
  <pageMargins left="0" right="0" top="0" bottom="0" header="0" footer="0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3DF4-9637-4D8E-B6B7-1A58F0A2F19F}">
  <sheetPr>
    <pageSetUpPr fitToPage="1"/>
  </sheetPr>
  <dimension ref="A1:H8"/>
  <sheetViews>
    <sheetView view="pageBreakPreview" zoomScale="92" zoomScaleNormal="82" zoomScaleSheetLayoutView="118" workbookViewId="0">
      <selection activeCell="C12" sqref="C12"/>
    </sheetView>
  </sheetViews>
  <sheetFormatPr defaultColWidth="9.109375" defaultRowHeight="21" customHeight="1" x14ac:dyDescent="0.3"/>
  <cols>
    <col min="1" max="1" width="7.109375" style="21" customWidth="1"/>
    <col min="2" max="2" width="16.6640625" style="21" customWidth="1"/>
    <col min="3" max="3" width="7" style="21" bestFit="1" customWidth="1"/>
    <col min="4" max="4" width="22.44140625" style="21" customWidth="1"/>
    <col min="5" max="5" width="11.33203125" style="21" customWidth="1"/>
    <col min="6" max="6" width="18.44140625" style="21" bestFit="1" customWidth="1"/>
    <col min="7" max="7" width="22.44140625" style="21" customWidth="1"/>
    <col min="8" max="8" width="18.33203125" style="21" customWidth="1"/>
    <col min="9" max="9" width="12.109375" style="77" bestFit="1" customWidth="1"/>
    <col min="10" max="16384" width="9.109375" style="77"/>
  </cols>
  <sheetData>
    <row r="1" spans="1:8" s="21" customFormat="1" ht="18" customHeight="1" thickTop="1" x14ac:dyDescent="0.3">
      <c r="A1" s="295" t="s">
        <v>386</v>
      </c>
      <c r="B1" s="296"/>
      <c r="C1" s="296"/>
      <c r="D1" s="296"/>
      <c r="E1" s="296"/>
      <c r="F1" s="296"/>
      <c r="G1" s="296"/>
      <c r="H1" s="296"/>
    </row>
    <row r="2" spans="1:8" s="21" customFormat="1" ht="18" customHeight="1" x14ac:dyDescent="0.3">
      <c r="A2" s="297"/>
      <c r="B2" s="298"/>
      <c r="C2" s="298"/>
      <c r="D2" s="298"/>
      <c r="E2" s="298"/>
      <c r="F2" s="298"/>
      <c r="G2" s="298"/>
      <c r="H2" s="298"/>
    </row>
    <row r="3" spans="1:8" s="21" customFormat="1" ht="18" customHeight="1" thickBot="1" x14ac:dyDescent="0.35">
      <c r="A3" s="299"/>
      <c r="B3" s="300"/>
      <c r="C3" s="300"/>
      <c r="D3" s="300"/>
      <c r="E3" s="300"/>
      <c r="F3" s="300"/>
      <c r="G3" s="300"/>
      <c r="H3" s="300"/>
    </row>
    <row r="4" spans="1:8" s="21" customFormat="1" ht="16.2" customHeight="1" thickTop="1" thickBot="1" x14ac:dyDescent="0.35">
      <c r="A4" s="59"/>
      <c r="B4" s="59"/>
      <c r="C4" s="59"/>
      <c r="D4" s="59"/>
      <c r="E4" s="59"/>
      <c r="F4" s="59"/>
      <c r="G4" s="59"/>
      <c r="H4" s="59"/>
    </row>
    <row r="5" spans="1:8" ht="28.95" customHeight="1" thickTop="1" thickBot="1" x14ac:dyDescent="0.35">
      <c r="A5" s="82" t="s">
        <v>5</v>
      </c>
      <c r="B5" s="82" t="s">
        <v>71</v>
      </c>
      <c r="C5" s="82" t="s">
        <v>3</v>
      </c>
      <c r="D5" s="82" t="s">
        <v>72</v>
      </c>
      <c r="E5" s="82" t="s">
        <v>1</v>
      </c>
      <c r="F5" s="82" t="s">
        <v>73</v>
      </c>
      <c r="G5" s="82" t="s">
        <v>46</v>
      </c>
      <c r="H5" s="82" t="s">
        <v>385</v>
      </c>
    </row>
    <row r="6" spans="1:8" ht="30" customHeight="1" thickTop="1" thickBot="1" x14ac:dyDescent="0.35">
      <c r="A6" s="83">
        <v>1</v>
      </c>
      <c r="B6" s="83"/>
      <c r="C6" s="83"/>
      <c r="D6" s="83"/>
      <c r="E6" s="83"/>
      <c r="F6" s="83"/>
      <c r="G6" s="84"/>
      <c r="H6" s="84"/>
    </row>
    <row r="7" spans="1:8" ht="25.95" customHeight="1" thickTop="1" thickBot="1" x14ac:dyDescent="0.35">
      <c r="A7" s="14"/>
      <c r="B7" s="76">
        <f>COUNTA(B6)</f>
        <v>0</v>
      </c>
      <c r="C7" s="14"/>
      <c r="D7" s="14"/>
      <c r="E7" s="14"/>
      <c r="F7" s="14"/>
      <c r="G7" s="253">
        <f>SUM(G6)</f>
        <v>0</v>
      </c>
      <c r="H7" s="78"/>
    </row>
    <row r="8" spans="1:8" ht="17.399999999999999" customHeight="1" thickTop="1" x14ac:dyDescent="0.3"/>
  </sheetData>
  <mergeCells count="1">
    <mergeCell ref="A1:H3"/>
  </mergeCells>
  <conditionalFormatting sqref="A7">
    <cfRule type="duplicateValues" dxfId="407" priority="6"/>
    <cfRule type="duplicateValues" dxfId="406" priority="4402"/>
  </conditionalFormatting>
  <conditionalFormatting sqref="A8:A1048576">
    <cfRule type="duplicateValues" dxfId="405" priority="8"/>
  </conditionalFormatting>
  <conditionalFormatting sqref="B7">
    <cfRule type="duplicateValues" dxfId="404" priority="3"/>
    <cfRule type="duplicateValues" dxfId="403" priority="4"/>
  </conditionalFormatting>
  <conditionalFormatting sqref="B8:B1048576 B4:B6">
    <cfRule type="duplicateValues" dxfId="402" priority="7"/>
  </conditionalFormatting>
  <conditionalFormatting sqref="B8:B1048576">
    <cfRule type="duplicateValues" dxfId="401" priority="9"/>
  </conditionalFormatting>
  <conditionalFormatting sqref="G7">
    <cfRule type="duplicateValues" dxfId="400" priority="1"/>
    <cfRule type="duplicateValues" dxfId="399" priority="2"/>
  </conditionalFormatting>
  <pageMargins left="0.7" right="0.7" top="0.75" bottom="0.75" header="0.3" footer="0.3"/>
  <pageSetup scale="7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E331-90B9-46B1-A642-209AE4728DEB}">
  <dimension ref="A1:G6"/>
  <sheetViews>
    <sheetView workbookViewId="0">
      <selection activeCell="L19" sqref="L19"/>
    </sheetView>
  </sheetViews>
  <sheetFormatPr defaultColWidth="9.109375" defaultRowHeight="14.4" x14ac:dyDescent="0.3"/>
  <cols>
    <col min="1" max="1" width="6.6640625" style="1" customWidth="1"/>
    <col min="2" max="2" width="15.33203125" style="1" bestFit="1" customWidth="1"/>
    <col min="3" max="3" width="11.33203125" style="1" bestFit="1" customWidth="1"/>
    <col min="4" max="4" width="4.88671875" style="1" bestFit="1" customWidth="1"/>
    <col min="5" max="5" width="6.5546875" style="1" bestFit="1" customWidth="1"/>
    <col min="6" max="6" width="14.33203125" style="1" bestFit="1" customWidth="1"/>
    <col min="7" max="7" width="12.6640625" style="1" bestFit="1" customWidth="1"/>
    <col min="8" max="16384" width="9.109375" style="1"/>
  </cols>
  <sheetData>
    <row r="1" spans="1:7" ht="24.6" thickTop="1" thickBot="1" x14ac:dyDescent="0.35">
      <c r="A1" s="301" t="s">
        <v>54</v>
      </c>
      <c r="B1" s="302"/>
      <c r="C1" s="302"/>
      <c r="D1" s="302"/>
      <c r="E1" s="302"/>
      <c r="F1" s="302"/>
      <c r="G1" s="303"/>
    </row>
    <row r="2" spans="1:7" ht="8.25" customHeight="1" thickTop="1" x14ac:dyDescent="0.3"/>
    <row r="3" spans="1:7" ht="11.25" customHeight="1" thickBot="1" x14ac:dyDescent="0.35"/>
    <row r="4" spans="1:7" ht="15.6" thickTop="1" thickBot="1" x14ac:dyDescent="0.35">
      <c r="A4" s="5" t="s">
        <v>5</v>
      </c>
      <c r="B4" s="5" t="s">
        <v>11</v>
      </c>
      <c r="C4" s="5" t="s">
        <v>7</v>
      </c>
      <c r="D4" s="5" t="s">
        <v>3</v>
      </c>
      <c r="E4" s="5" t="s">
        <v>50</v>
      </c>
      <c r="F4" s="5" t="s">
        <v>51</v>
      </c>
      <c r="G4" s="5" t="s">
        <v>42</v>
      </c>
    </row>
    <row r="5" spans="1:7" ht="22.5" customHeight="1" thickTop="1" thickBot="1" x14ac:dyDescent="0.35">
      <c r="A5" s="6">
        <v>1</v>
      </c>
      <c r="B5" s="4" t="s">
        <v>52</v>
      </c>
      <c r="C5" s="4" t="s">
        <v>53</v>
      </c>
      <c r="D5" s="4">
        <v>247</v>
      </c>
      <c r="E5" s="4">
        <v>304.04000000000002</v>
      </c>
      <c r="F5" s="4">
        <v>57</v>
      </c>
      <c r="G5" s="7">
        <v>10666820</v>
      </c>
    </row>
    <row r="6" spans="1:7" ht="15" thickTop="1" x14ac:dyDescent="0.3"/>
  </sheetData>
  <mergeCells count="1">
    <mergeCell ref="A1:G1"/>
  </mergeCells>
  <pageMargins left="0.7" right="0.7" top="0.75" bottom="0.75" header="0.3" footer="0.3"/>
  <pageSetup fitToWidth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BA8D-785F-4FCE-96F7-09390F0A6AF7}">
  <sheetPr>
    <pageSetUpPr fitToPage="1"/>
  </sheetPr>
  <dimension ref="A1:G7"/>
  <sheetViews>
    <sheetView workbookViewId="0">
      <selection activeCell="C11" sqref="C11"/>
    </sheetView>
  </sheetViews>
  <sheetFormatPr defaultRowHeight="14.4" x14ac:dyDescent="0.3"/>
  <cols>
    <col min="1" max="1" width="6.44140625" bestFit="1" customWidth="1"/>
    <col min="2" max="2" width="17.6640625" customWidth="1"/>
    <col min="3" max="3" width="18.5546875" bestFit="1" customWidth="1"/>
    <col min="4" max="4" width="12" bestFit="1" customWidth="1"/>
    <col min="5" max="5" width="13.88671875" bestFit="1" customWidth="1"/>
    <col min="6" max="6" width="19.109375" bestFit="1" customWidth="1"/>
    <col min="7" max="7" width="17.6640625" customWidth="1"/>
  </cols>
  <sheetData>
    <row r="1" spans="1:7" ht="35.25" customHeight="1" thickTop="1" thickBot="1" x14ac:dyDescent="0.35">
      <c r="A1" s="304" t="s">
        <v>41</v>
      </c>
      <c r="B1" s="304"/>
      <c r="C1" s="304"/>
      <c r="D1" s="304"/>
      <c r="E1" s="304"/>
      <c r="F1" s="304"/>
      <c r="G1" s="304"/>
    </row>
    <row r="2" spans="1:7" ht="15" thickTop="1" x14ac:dyDescent="0.3"/>
    <row r="4" spans="1:7" ht="15" thickBot="1" x14ac:dyDescent="0.35">
      <c r="A4" s="48" t="s">
        <v>20</v>
      </c>
      <c r="B4" s="49" t="s">
        <v>16</v>
      </c>
      <c r="C4" s="49" t="s">
        <v>21</v>
      </c>
      <c r="D4" s="49" t="s">
        <v>0</v>
      </c>
      <c r="E4" s="49" t="s">
        <v>9</v>
      </c>
      <c r="F4" s="49" t="s">
        <v>18</v>
      </c>
      <c r="G4" s="50" t="s">
        <v>10</v>
      </c>
    </row>
    <row r="5" spans="1:7" ht="22.2" customHeight="1" thickTop="1" thickBot="1" x14ac:dyDescent="0.35">
      <c r="A5" s="23">
        <v>1</v>
      </c>
      <c r="B5" s="13"/>
      <c r="C5" s="13"/>
      <c r="D5" s="53"/>
      <c r="E5" s="13"/>
      <c r="F5" s="13"/>
      <c r="G5" s="24"/>
    </row>
    <row r="6" spans="1:7" ht="22.2" customHeight="1" thickTop="1" x14ac:dyDescent="0.3">
      <c r="A6" s="51"/>
      <c r="B6" s="64">
        <f>SUBTOTAL(103,Table12[Unit Name])</f>
        <v>0</v>
      </c>
      <c r="C6" s="52"/>
      <c r="D6" s="52"/>
      <c r="E6" s="52"/>
      <c r="F6" s="52"/>
      <c r="G6" s="65">
        <f>SUBTOTAL(109,Table12[Total Unit Price])</f>
        <v>0</v>
      </c>
    </row>
    <row r="7" spans="1:7" x14ac:dyDescent="0.3">
      <c r="A7" s="1"/>
      <c r="B7" s="1"/>
      <c r="C7" s="1"/>
      <c r="D7" s="1"/>
      <c r="E7" s="1"/>
      <c r="F7" s="1"/>
      <c r="G7" s="1"/>
    </row>
  </sheetData>
  <mergeCells count="1">
    <mergeCell ref="A1:G1"/>
  </mergeCells>
  <conditionalFormatting sqref="C1">
    <cfRule type="duplicateValues" dxfId="398" priority="1"/>
    <cfRule type="duplicateValues" dxfId="397" priority="2"/>
    <cfRule type="duplicateValues" dxfId="396" priority="3"/>
    <cfRule type="duplicateValues" dxfId="395" priority="4"/>
    <cfRule type="duplicateValues" dxfId="394" priority="5"/>
    <cfRule type="duplicateValues" dxfId="393" priority="6"/>
  </conditionalFormatting>
  <pageMargins left="0.7" right="0.7" top="0.75" bottom="0.75" header="0.3" footer="0.3"/>
  <pageSetup scale="85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F89D-3C41-4929-AA18-2B34DAC17074}">
  <sheetPr>
    <pageSetUpPr fitToPage="1"/>
  </sheetPr>
  <dimension ref="A1:J19"/>
  <sheetViews>
    <sheetView zoomScale="98" workbookViewId="0">
      <selection activeCell="D13" sqref="D13"/>
    </sheetView>
  </sheetViews>
  <sheetFormatPr defaultColWidth="9.44140625" defaultRowHeight="14.4" x14ac:dyDescent="0.3"/>
  <cols>
    <col min="1" max="1" width="6.88671875" style="1" customWidth="1"/>
    <col min="2" max="2" width="17.109375" style="1" customWidth="1"/>
    <col min="3" max="3" width="21.5546875" style="1" customWidth="1"/>
    <col min="4" max="4" width="14.33203125" style="1" bestFit="1" customWidth="1"/>
    <col min="5" max="5" width="16.109375" style="1" bestFit="1" customWidth="1"/>
    <col min="6" max="6" width="21.44140625" style="1" bestFit="1" customWidth="1"/>
    <col min="7" max="7" width="19.109375" style="1" bestFit="1" customWidth="1"/>
    <col min="8" max="8" width="24.88671875" style="1" bestFit="1" customWidth="1"/>
    <col min="9" max="16384" width="9.44140625" style="1"/>
  </cols>
  <sheetData>
    <row r="1" spans="1:10" ht="25.95" customHeight="1" thickTop="1" thickBot="1" x14ac:dyDescent="0.35">
      <c r="A1" s="305" t="s">
        <v>27</v>
      </c>
      <c r="B1" s="306"/>
      <c r="C1" s="306"/>
      <c r="D1" s="306"/>
      <c r="E1" s="306"/>
      <c r="F1" s="306"/>
      <c r="G1" s="306"/>
      <c r="H1" s="307"/>
    </row>
    <row r="2" spans="1:10" ht="7.2" customHeight="1" thickTop="1" x14ac:dyDescent="0.3">
      <c r="A2" s="21"/>
      <c r="B2" s="21"/>
      <c r="C2" s="21"/>
      <c r="D2" s="21"/>
      <c r="E2" s="21"/>
      <c r="F2" s="21"/>
      <c r="G2" s="21"/>
      <c r="H2" s="21"/>
    </row>
    <row r="3" spans="1:10" ht="6.6" customHeight="1" x14ac:dyDescent="0.3">
      <c r="A3" s="21"/>
      <c r="B3" s="21"/>
      <c r="C3" s="21"/>
      <c r="D3" s="21"/>
      <c r="E3" s="21"/>
      <c r="F3" s="21"/>
      <c r="G3" s="21"/>
      <c r="H3" s="21"/>
    </row>
    <row r="4" spans="1:10" ht="18.600000000000001" customHeight="1" thickBot="1" x14ac:dyDescent="0.35">
      <c r="A4" s="37" t="s">
        <v>20</v>
      </c>
      <c r="B4" s="38" t="s">
        <v>23</v>
      </c>
      <c r="C4" s="38" t="s">
        <v>21</v>
      </c>
      <c r="D4" s="38" t="s">
        <v>0</v>
      </c>
      <c r="E4" s="38" t="s">
        <v>9</v>
      </c>
      <c r="F4" s="38" t="s">
        <v>18</v>
      </c>
      <c r="G4" s="38" t="s">
        <v>22</v>
      </c>
      <c r="H4" s="39" t="s">
        <v>68</v>
      </c>
    </row>
    <row r="5" spans="1:10" ht="21.6" customHeight="1" thickTop="1" thickBot="1" x14ac:dyDescent="0.35">
      <c r="A5" s="55"/>
      <c r="B5" s="11"/>
      <c r="C5" s="11"/>
      <c r="D5" s="47"/>
      <c r="E5" s="47"/>
      <c r="F5" s="47"/>
      <c r="G5" s="47"/>
      <c r="H5" s="54"/>
    </row>
    <row r="6" spans="1:10" ht="25.2" customHeight="1" thickTop="1" thickBot="1" x14ac:dyDescent="0.35">
      <c r="A6" s="55"/>
      <c r="B6" s="11"/>
      <c r="C6" s="11"/>
      <c r="D6" s="47"/>
      <c r="E6" s="47"/>
      <c r="F6" s="47"/>
      <c r="G6" s="47"/>
      <c r="H6" s="54"/>
    </row>
    <row r="7" spans="1:10" ht="25.2" customHeight="1" thickTop="1" x14ac:dyDescent="0.3">
      <c r="A7" s="56"/>
      <c r="B7" s="63">
        <f>SUBTOTAL(103,Table3[Unit])</f>
        <v>0</v>
      </c>
      <c r="C7" s="57"/>
      <c r="D7" s="58"/>
      <c r="E7" s="58"/>
      <c r="F7" s="58"/>
      <c r="G7" s="58"/>
      <c r="H7" s="66">
        <f>SUM(H5:H6)</f>
        <v>0</v>
      </c>
      <c r="I7" s="3"/>
      <c r="J7" s="3"/>
    </row>
    <row r="8" spans="1:10" x14ac:dyDescent="0.3">
      <c r="G8" s="3"/>
      <c r="H8" s="3"/>
      <c r="I8" s="3"/>
      <c r="J8" s="3"/>
    </row>
    <row r="9" spans="1:10" x14ac:dyDescent="0.3">
      <c r="G9" s="3"/>
      <c r="H9" s="3"/>
      <c r="I9" s="3"/>
      <c r="J9" s="3"/>
    </row>
    <row r="10" spans="1:10" x14ac:dyDescent="0.3">
      <c r="G10" s="3"/>
      <c r="H10" s="3"/>
      <c r="I10" s="3"/>
      <c r="J10" s="3"/>
    </row>
    <row r="11" spans="1:10" x14ac:dyDescent="0.3">
      <c r="G11" s="3"/>
      <c r="H11" s="3"/>
      <c r="I11" s="3"/>
      <c r="J11" s="3"/>
    </row>
    <row r="12" spans="1:10" x14ac:dyDescent="0.3">
      <c r="G12" s="3"/>
      <c r="H12" s="3"/>
      <c r="I12" s="3"/>
      <c r="J12" s="3"/>
    </row>
    <row r="13" spans="1:10" x14ac:dyDescent="0.3">
      <c r="G13" s="3"/>
      <c r="H13" s="3"/>
      <c r="I13" s="3"/>
      <c r="J13" s="3"/>
    </row>
    <row r="14" spans="1:10" x14ac:dyDescent="0.3">
      <c r="G14" s="3"/>
      <c r="H14" s="3"/>
      <c r="I14" s="3"/>
      <c r="J14" s="3"/>
    </row>
    <row r="15" spans="1:10" x14ac:dyDescent="0.3">
      <c r="G15" s="3"/>
      <c r="H15" s="3"/>
      <c r="I15" s="3"/>
      <c r="J15" s="3"/>
    </row>
    <row r="16" spans="1:10" x14ac:dyDescent="0.3">
      <c r="G16" s="3"/>
      <c r="H16" s="3"/>
      <c r="I16" s="3"/>
      <c r="J16" s="3"/>
    </row>
    <row r="17" spans="7:10" x14ac:dyDescent="0.3">
      <c r="G17" s="3"/>
      <c r="H17" s="3"/>
      <c r="I17" s="3"/>
      <c r="J17" s="3"/>
    </row>
    <row r="18" spans="7:10" x14ac:dyDescent="0.3">
      <c r="G18" s="3"/>
      <c r="H18" s="3"/>
      <c r="I18" s="3"/>
      <c r="J18" s="3"/>
    </row>
    <row r="19" spans="7:10" x14ac:dyDescent="0.3">
      <c r="G19" s="3"/>
      <c r="H19" s="3"/>
      <c r="I19" s="3"/>
      <c r="J19" s="3"/>
    </row>
  </sheetData>
  <mergeCells count="1">
    <mergeCell ref="A1:H1"/>
  </mergeCells>
  <conditionalFormatting sqref="B1:B1048576">
    <cfRule type="duplicateValues" dxfId="392" priority="1"/>
  </conditionalFormatting>
  <conditionalFormatting sqref="B7:B1048576 B1:B5">
    <cfRule type="duplicateValues" dxfId="391" priority="2"/>
  </conditionalFormatting>
  <pageMargins left="0.7" right="0.7" top="0.75" bottom="0.75" header="0.3" footer="0.3"/>
  <pageSetup scale="63" orientation="portrait" r:id="rId1"/>
  <headerFooter>
    <oddHeader>&amp;R&amp;D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0F3E-E867-45BC-8545-EF577B80D721}">
  <sheetPr>
    <pageSetUpPr fitToPage="1"/>
  </sheetPr>
  <dimension ref="A1:I14"/>
  <sheetViews>
    <sheetView view="pageBreakPreview" zoomScale="104" zoomScaleNormal="100" workbookViewId="0">
      <selection activeCell="B4" sqref="B4:I12"/>
    </sheetView>
  </sheetViews>
  <sheetFormatPr defaultRowHeight="14.4" x14ac:dyDescent="0.3"/>
  <cols>
    <col min="1" max="1" width="5.109375" customWidth="1"/>
    <col min="2" max="2" width="16" bestFit="1" customWidth="1"/>
    <col min="3" max="3" width="13" customWidth="1"/>
    <col min="4" max="4" width="9.109375" bestFit="1" customWidth="1"/>
    <col min="5" max="5" width="11.44140625" bestFit="1" customWidth="1"/>
    <col min="6" max="6" width="13.109375" customWidth="1"/>
    <col min="7" max="7" width="9.33203125" bestFit="1" customWidth="1"/>
    <col min="8" max="8" width="19.6640625" customWidth="1"/>
    <col min="9" max="9" width="16.6640625" customWidth="1"/>
  </cols>
  <sheetData>
    <row r="1" spans="1:9" s="1" customFormat="1" ht="42.6" customHeight="1" x14ac:dyDescent="0.3">
      <c r="A1" s="309" t="s">
        <v>97</v>
      </c>
      <c r="B1" s="309"/>
      <c r="C1" s="309"/>
      <c r="D1" s="309"/>
      <c r="E1" s="309"/>
      <c r="F1" s="309"/>
      <c r="G1" s="309"/>
      <c r="H1" s="309"/>
      <c r="I1" s="310"/>
    </row>
    <row r="2" spans="1:9" s="9" customFormat="1" ht="15.6" customHeight="1" x14ac:dyDescent="0.3">
      <c r="A2" s="308"/>
      <c r="B2" s="308"/>
      <c r="C2" s="308"/>
      <c r="D2" s="308"/>
      <c r="E2" s="308"/>
      <c r="F2" s="308"/>
      <c r="G2" s="308"/>
      <c r="H2" s="308"/>
      <c r="I2" s="308"/>
    </row>
    <row r="3" spans="1:9" s="1" customFormat="1" ht="36.6" customHeight="1" thickBot="1" x14ac:dyDescent="0.35">
      <c r="A3" s="37" t="s">
        <v>5</v>
      </c>
      <c r="B3" s="103" t="s">
        <v>16</v>
      </c>
      <c r="C3" s="103" t="s">
        <v>7</v>
      </c>
      <c r="D3" s="103" t="s">
        <v>17</v>
      </c>
      <c r="E3" s="103" t="s">
        <v>9</v>
      </c>
      <c r="F3" s="103" t="s">
        <v>18</v>
      </c>
      <c r="G3" s="104" t="s">
        <v>4</v>
      </c>
      <c r="H3" s="104" t="s">
        <v>10</v>
      </c>
      <c r="I3" s="105" t="s">
        <v>98</v>
      </c>
    </row>
    <row r="4" spans="1:9" s="1" customFormat="1" ht="22.2" customHeight="1" thickTop="1" thickBot="1" x14ac:dyDescent="0.35">
      <c r="A4" s="15">
        <v>1</v>
      </c>
      <c r="B4" s="11"/>
      <c r="C4" s="47"/>
      <c r="D4" s="11"/>
      <c r="E4" s="11"/>
      <c r="F4" s="11"/>
      <c r="G4" s="107"/>
      <c r="H4" s="91"/>
      <c r="I4" s="70"/>
    </row>
    <row r="5" spans="1:9" s="1" customFormat="1" ht="22.2" customHeight="1" thickTop="1" thickBot="1" x14ac:dyDescent="0.35">
      <c r="A5" s="15">
        <v>2</v>
      </c>
      <c r="B5" s="11"/>
      <c r="C5" s="47"/>
      <c r="D5" s="11"/>
      <c r="E5" s="11"/>
      <c r="F5" s="11"/>
      <c r="G5" s="107"/>
      <c r="H5" s="91"/>
      <c r="I5" s="70"/>
    </row>
    <row r="6" spans="1:9" s="1" customFormat="1" ht="22.2" customHeight="1" thickTop="1" thickBot="1" x14ac:dyDescent="0.35">
      <c r="A6" s="15">
        <v>3</v>
      </c>
      <c r="B6" s="11"/>
      <c r="C6" s="47"/>
      <c r="D6" s="11"/>
      <c r="E6" s="11"/>
      <c r="F6" s="11"/>
      <c r="G6" s="107"/>
      <c r="H6" s="91"/>
      <c r="I6" s="70"/>
    </row>
    <row r="7" spans="1:9" s="1" customFormat="1" ht="22.2" customHeight="1" thickTop="1" thickBot="1" x14ac:dyDescent="0.35">
      <c r="A7" s="15">
        <v>4</v>
      </c>
      <c r="B7" s="11"/>
      <c r="C7" s="47"/>
      <c r="D7" s="11"/>
      <c r="E7" s="11"/>
      <c r="F7" s="11"/>
      <c r="G7" s="107"/>
      <c r="H7" s="91"/>
      <c r="I7" s="70"/>
    </row>
    <row r="8" spans="1:9" s="1" customFormat="1" ht="22.2" customHeight="1" thickTop="1" thickBot="1" x14ac:dyDescent="0.35">
      <c r="A8" s="15">
        <v>5</v>
      </c>
      <c r="B8" s="11"/>
      <c r="C8" s="47"/>
      <c r="D8" s="11"/>
      <c r="E8" s="11"/>
      <c r="F8" s="11"/>
      <c r="G8" s="107"/>
      <c r="H8" s="91"/>
      <c r="I8" s="70"/>
    </row>
    <row r="9" spans="1:9" s="1" customFormat="1" ht="22.2" customHeight="1" thickTop="1" thickBot="1" x14ac:dyDescent="0.35">
      <c r="A9" s="15">
        <v>6</v>
      </c>
      <c r="B9" s="11"/>
      <c r="C9" s="47"/>
      <c r="D9" s="11"/>
      <c r="E9" s="11"/>
      <c r="F9" s="11"/>
      <c r="G9" s="107"/>
      <c r="H9" s="91"/>
      <c r="I9" s="70"/>
    </row>
    <row r="10" spans="1:9" s="1" customFormat="1" ht="22.2" customHeight="1" thickTop="1" thickBot="1" x14ac:dyDescent="0.35">
      <c r="A10" s="15">
        <v>7</v>
      </c>
      <c r="B10" s="11"/>
      <c r="C10" s="47"/>
      <c r="D10" s="11"/>
      <c r="E10" s="11"/>
      <c r="F10" s="11"/>
      <c r="G10" s="107"/>
      <c r="H10" s="91"/>
      <c r="I10" s="70"/>
    </row>
    <row r="11" spans="1:9" s="1" customFormat="1" ht="22.2" customHeight="1" thickTop="1" thickBot="1" x14ac:dyDescent="0.35">
      <c r="A11" s="15">
        <v>8</v>
      </c>
      <c r="B11" s="90"/>
      <c r="C11" s="90"/>
      <c r="D11" s="90"/>
      <c r="E11" s="90"/>
      <c r="F11" s="90"/>
      <c r="G11" s="108"/>
      <c r="H11" s="91"/>
      <c r="I11" s="102"/>
    </row>
    <row r="12" spans="1:9" s="1" customFormat="1" ht="22.2" customHeight="1" thickTop="1" thickBot="1" x14ac:dyDescent="0.35">
      <c r="A12" s="15">
        <v>9</v>
      </c>
      <c r="B12" s="90"/>
      <c r="C12" s="90"/>
      <c r="D12" s="90"/>
      <c r="E12" s="90"/>
      <c r="F12" s="90"/>
      <c r="G12" s="108"/>
      <c r="H12" s="91"/>
      <c r="I12" s="102"/>
    </row>
    <row r="13" spans="1:9" ht="22.2" customHeight="1" thickTop="1" thickBot="1" x14ac:dyDescent="0.35">
      <c r="A13" s="16"/>
      <c r="B13" s="63">
        <f>SUBTOTAL(103,Table96[Unit Name])</f>
        <v>0</v>
      </c>
      <c r="C13" s="18"/>
      <c r="D13" s="18"/>
      <c r="E13" s="18"/>
      <c r="F13" s="19"/>
      <c r="G13" s="17"/>
      <c r="H13" s="101">
        <f>SUBTOTAL(109,Table96[Total Unit Price])</f>
        <v>0</v>
      </c>
      <c r="I13" s="70"/>
    </row>
    <row r="14" spans="1:9" ht="15" thickTop="1" x14ac:dyDescent="0.3"/>
  </sheetData>
  <mergeCells count="2">
    <mergeCell ref="A2:I2"/>
    <mergeCell ref="A1:I1"/>
  </mergeCells>
  <conditionalFormatting sqref="A4:A12">
    <cfRule type="duplicateValues" dxfId="390" priority="4660"/>
  </conditionalFormatting>
  <conditionalFormatting sqref="B3:B13">
    <cfRule type="duplicateValues" dxfId="389" priority="4661"/>
  </conditionalFormatting>
  <conditionalFormatting sqref="B4:B12">
    <cfRule type="duplicateValues" dxfId="388" priority="4663"/>
  </conditionalFormatting>
  <conditionalFormatting sqref="B13 B3">
    <cfRule type="duplicateValues" dxfId="387" priority="3"/>
  </conditionalFormatting>
  <conditionalFormatting sqref="B13">
    <cfRule type="duplicateValues" dxfId="386" priority="4"/>
    <cfRule type="duplicateValues" dxfId="385" priority="6"/>
  </conditionalFormatting>
  <conditionalFormatting sqref="C13">
    <cfRule type="duplicateValues" dxfId="384" priority="5"/>
  </conditionalFormatting>
  <pageMargins left="0.70866141732283472" right="0.70866141732283472" top="0.74803149606299213" bottom="0.74803149606299213" header="0.31496062992125984" footer="0.31496062992125984"/>
  <pageSetup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D5A7-876C-4993-8926-96ECF5B928D2}">
  <dimension ref="A1:N139"/>
  <sheetViews>
    <sheetView view="pageBreakPreview" topLeftCell="A27" zoomScale="78" zoomScaleNormal="94" zoomScaleSheetLayoutView="64" workbookViewId="0">
      <selection activeCell="G51" sqref="G51"/>
    </sheetView>
  </sheetViews>
  <sheetFormatPr defaultColWidth="18.6640625" defaultRowHeight="14.4" x14ac:dyDescent="0.3"/>
  <cols>
    <col min="1" max="1" width="6.5546875" bestFit="1" customWidth="1"/>
    <col min="2" max="2" width="20.33203125" customWidth="1"/>
    <col min="3" max="3" width="11.88671875" customWidth="1"/>
    <col min="4" max="4" width="23.33203125" customWidth="1"/>
    <col min="5" max="5" width="12.44140625" customWidth="1"/>
    <col min="6" max="6" width="15.6640625" customWidth="1"/>
    <col min="7" max="7" width="18.5546875" customWidth="1"/>
    <col min="8" max="8" width="17.44140625" customWidth="1"/>
    <col min="9" max="9" width="27.21875" customWidth="1"/>
    <col min="11" max="11" width="0" hidden="1" customWidth="1"/>
    <col min="12" max="12" width="18.6640625" hidden="1" customWidth="1"/>
  </cols>
  <sheetData>
    <row r="1" spans="1:14" ht="47.4" customHeight="1" x14ac:dyDescent="0.3">
      <c r="A1" s="311" t="s">
        <v>138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</row>
    <row r="2" spans="1:14" ht="7.8" customHeight="1" x14ac:dyDescent="0.3">
      <c r="A2" s="115"/>
      <c r="B2" s="115"/>
      <c r="C2" s="115"/>
      <c r="D2" s="115"/>
      <c r="E2" s="115"/>
      <c r="F2" s="115"/>
      <c r="G2" s="115"/>
      <c r="H2" s="115"/>
    </row>
    <row r="3" spans="1:14" ht="7.8" customHeight="1" x14ac:dyDescent="0.3">
      <c r="A3" s="115"/>
      <c r="B3" s="115"/>
      <c r="C3" s="115"/>
      <c r="D3" s="115"/>
      <c r="E3" s="115"/>
      <c r="F3" s="115"/>
      <c r="G3" s="115"/>
      <c r="H3" s="115"/>
    </row>
    <row r="4" spans="1:14" ht="25.8" customHeight="1" thickBot="1" x14ac:dyDescent="0.35">
      <c r="A4" s="115"/>
      <c r="B4" s="115"/>
      <c r="C4" s="115"/>
      <c r="D4" s="115"/>
      <c r="E4" s="115"/>
      <c r="F4" s="115"/>
      <c r="G4" s="115"/>
      <c r="H4" s="115"/>
      <c r="I4" s="313" t="s">
        <v>471</v>
      </c>
      <c r="J4" s="313"/>
      <c r="K4" s="313" t="s">
        <v>336</v>
      </c>
      <c r="L4" s="313"/>
    </row>
    <row r="5" spans="1:14" ht="27.6" customHeight="1" thickBot="1" x14ac:dyDescent="0.35">
      <c r="A5" s="190" t="s">
        <v>5</v>
      </c>
      <c r="B5" s="191" t="s">
        <v>11</v>
      </c>
      <c r="C5" s="191" t="s">
        <v>195</v>
      </c>
      <c r="D5" s="191" t="s">
        <v>65</v>
      </c>
      <c r="E5" s="191" t="s">
        <v>139</v>
      </c>
      <c r="F5" s="191" t="s">
        <v>45</v>
      </c>
      <c r="G5" s="191" t="s">
        <v>140</v>
      </c>
      <c r="H5" s="191" t="s">
        <v>51</v>
      </c>
      <c r="I5" s="191" t="s">
        <v>141</v>
      </c>
      <c r="J5" s="191" t="s">
        <v>76</v>
      </c>
      <c r="K5" s="191" t="s">
        <v>141</v>
      </c>
      <c r="L5" s="192" t="s">
        <v>76</v>
      </c>
    </row>
    <row r="6" spans="1:14" ht="18.600000000000001" customHeight="1" thickTop="1" thickBot="1" x14ac:dyDescent="0.35">
      <c r="A6" s="201">
        <f>ROW()-5</f>
        <v>1</v>
      </c>
      <c r="B6" s="176" t="s">
        <v>458</v>
      </c>
      <c r="C6" s="176" t="s">
        <v>235</v>
      </c>
      <c r="D6" s="176" t="s">
        <v>238</v>
      </c>
      <c r="E6" s="176" t="s">
        <v>239</v>
      </c>
      <c r="F6" s="176">
        <v>240</v>
      </c>
      <c r="G6" s="176">
        <v>460.24059999999997</v>
      </c>
      <c r="H6" s="177">
        <v>69</v>
      </c>
      <c r="I6" s="177">
        <v>54692706.43</v>
      </c>
      <c r="J6" s="177">
        <v>2734635.32</v>
      </c>
      <c r="K6" s="177"/>
      <c r="L6" s="194"/>
      <c r="M6" s="251"/>
      <c r="N6" s="252"/>
    </row>
    <row r="7" spans="1:14" ht="18.600000000000001" customHeight="1" thickTop="1" thickBot="1" x14ac:dyDescent="0.35">
      <c r="A7" s="193">
        <f>ROW()-5</f>
        <v>2</v>
      </c>
      <c r="B7" s="176" t="s">
        <v>466</v>
      </c>
      <c r="C7" s="176" t="s">
        <v>235</v>
      </c>
      <c r="D7" s="176" t="s">
        <v>238</v>
      </c>
      <c r="E7" s="176" t="s">
        <v>239</v>
      </c>
      <c r="F7" s="176">
        <v>240</v>
      </c>
      <c r="G7" s="176">
        <v>394.05</v>
      </c>
      <c r="H7" s="177">
        <v>69</v>
      </c>
      <c r="I7" s="177">
        <v>49214108.109999999</v>
      </c>
      <c r="J7" s="177">
        <v>2460705.41</v>
      </c>
      <c r="K7" s="177"/>
      <c r="L7" s="194"/>
      <c r="M7" s="251"/>
      <c r="N7" s="252"/>
    </row>
    <row r="8" spans="1:14" ht="18.600000000000001" customHeight="1" thickTop="1" thickBot="1" x14ac:dyDescent="0.35">
      <c r="A8" s="193">
        <f t="shared" ref="A8:A10" si="0">ROW()-5</f>
        <v>3</v>
      </c>
      <c r="B8" s="176" t="s">
        <v>467</v>
      </c>
      <c r="C8" s="176" t="s">
        <v>235</v>
      </c>
      <c r="D8" s="176" t="s">
        <v>238</v>
      </c>
      <c r="E8" s="176" t="s">
        <v>239</v>
      </c>
      <c r="F8" s="176">
        <v>240</v>
      </c>
      <c r="G8" s="176">
        <v>382.4443</v>
      </c>
      <c r="H8" s="177">
        <v>69</v>
      </c>
      <c r="I8" s="177">
        <v>47190570.670000002</v>
      </c>
      <c r="J8" s="177">
        <v>2359528.5299999998</v>
      </c>
      <c r="K8" s="177">
        <v>25271981.109999999</v>
      </c>
      <c r="L8" s="194">
        <v>1263599.06</v>
      </c>
      <c r="M8" s="251"/>
      <c r="N8" s="252"/>
    </row>
    <row r="9" spans="1:14" ht="18.600000000000001" customHeight="1" thickTop="1" thickBot="1" x14ac:dyDescent="0.35">
      <c r="A9" s="193">
        <f t="shared" si="0"/>
        <v>4</v>
      </c>
      <c r="B9" s="176" t="s">
        <v>468</v>
      </c>
      <c r="C9" s="176" t="s">
        <v>235</v>
      </c>
      <c r="D9" s="176" t="s">
        <v>238</v>
      </c>
      <c r="E9" s="176" t="s">
        <v>239</v>
      </c>
      <c r="F9" s="176">
        <v>240</v>
      </c>
      <c r="G9" s="176">
        <v>379.04410000000001</v>
      </c>
      <c r="H9" s="177">
        <v>69</v>
      </c>
      <c r="I9" s="177">
        <v>45231849.25</v>
      </c>
      <c r="J9" s="177">
        <v>2261592.46</v>
      </c>
      <c r="K9" s="177">
        <v>24542636.84</v>
      </c>
      <c r="L9" s="194">
        <v>1227131.8400000001</v>
      </c>
      <c r="M9" s="251"/>
      <c r="N9" s="252"/>
    </row>
    <row r="10" spans="1:14" ht="18.600000000000001" customHeight="1" thickTop="1" thickBot="1" x14ac:dyDescent="0.35">
      <c r="A10" s="193">
        <f t="shared" si="0"/>
        <v>5</v>
      </c>
      <c r="B10" s="176" t="s">
        <v>370</v>
      </c>
      <c r="C10" s="176" t="s">
        <v>235</v>
      </c>
      <c r="D10" s="176" t="s">
        <v>238</v>
      </c>
      <c r="E10" s="176" t="s">
        <v>239</v>
      </c>
      <c r="F10" s="176">
        <v>240</v>
      </c>
      <c r="G10" s="176">
        <v>365.12200000000001</v>
      </c>
      <c r="H10" s="177">
        <v>69</v>
      </c>
      <c r="I10" s="177">
        <v>42402713.140000001</v>
      </c>
      <c r="J10" s="177">
        <v>2120135.66</v>
      </c>
      <c r="K10" s="177">
        <v>35007305.789999999</v>
      </c>
      <c r="L10" s="194">
        <v>1750365.29</v>
      </c>
      <c r="M10" s="251"/>
      <c r="N10" s="252"/>
    </row>
    <row r="11" spans="1:14" ht="18.600000000000001" customHeight="1" thickTop="1" thickBot="1" x14ac:dyDescent="0.35">
      <c r="A11" s="193">
        <f t="shared" ref="A11:A14" si="1">ROW()-5</f>
        <v>6</v>
      </c>
      <c r="B11" s="176" t="s">
        <v>371</v>
      </c>
      <c r="C11" s="176" t="s">
        <v>235</v>
      </c>
      <c r="D11" s="176" t="s">
        <v>238</v>
      </c>
      <c r="E11" s="176" t="s">
        <v>239</v>
      </c>
      <c r="F11" s="176">
        <v>240</v>
      </c>
      <c r="G11" s="176">
        <v>372.01949999999999</v>
      </c>
      <c r="H11" s="177">
        <v>69</v>
      </c>
      <c r="I11" s="177">
        <v>44330859.600000001</v>
      </c>
      <c r="J11" s="177">
        <v>2216542.98</v>
      </c>
      <c r="K11" s="177">
        <v>38347498.490000002</v>
      </c>
      <c r="L11" s="194">
        <v>1917374.92</v>
      </c>
      <c r="M11" s="251"/>
      <c r="N11" s="252"/>
    </row>
    <row r="12" spans="1:14" ht="18.600000000000001" customHeight="1" thickTop="1" thickBot="1" x14ac:dyDescent="0.35">
      <c r="A12" s="193">
        <f>ROW()-5</f>
        <v>7</v>
      </c>
      <c r="B12" s="176" t="s">
        <v>411</v>
      </c>
      <c r="C12" s="176" t="s">
        <v>235</v>
      </c>
      <c r="D12" s="176" t="s">
        <v>238</v>
      </c>
      <c r="E12" s="176" t="s">
        <v>239</v>
      </c>
      <c r="F12" s="176">
        <v>240</v>
      </c>
      <c r="G12" s="176">
        <v>423.29149999999998</v>
      </c>
      <c r="H12" s="177">
        <v>69</v>
      </c>
      <c r="I12" s="177">
        <v>50693124.439999998</v>
      </c>
      <c r="J12" s="177">
        <v>2534656.2200000002</v>
      </c>
      <c r="K12" s="177"/>
      <c r="L12" s="194"/>
      <c r="M12" s="251"/>
      <c r="N12" s="252"/>
    </row>
    <row r="13" spans="1:14" ht="18.600000000000001" customHeight="1" thickTop="1" thickBot="1" x14ac:dyDescent="0.35">
      <c r="A13" s="193">
        <f t="shared" si="1"/>
        <v>8</v>
      </c>
      <c r="B13" s="176" t="s">
        <v>372</v>
      </c>
      <c r="C13" s="176" t="s">
        <v>235</v>
      </c>
      <c r="D13" s="176" t="s">
        <v>236</v>
      </c>
      <c r="E13" s="176" t="s">
        <v>237</v>
      </c>
      <c r="F13" s="176">
        <v>220</v>
      </c>
      <c r="G13" s="176">
        <v>391.96559999999999</v>
      </c>
      <c r="H13" s="177">
        <v>32</v>
      </c>
      <c r="I13" s="177">
        <v>44877301.43</v>
      </c>
      <c r="J13" s="177">
        <v>2243865.0699999998</v>
      </c>
      <c r="K13" s="177">
        <v>25314350.73</v>
      </c>
      <c r="L13" s="194">
        <v>1265717.54</v>
      </c>
      <c r="M13" s="251"/>
      <c r="N13" s="252"/>
    </row>
    <row r="14" spans="1:14" ht="18.600000000000001" customHeight="1" thickTop="1" thickBot="1" x14ac:dyDescent="0.35">
      <c r="A14" s="193">
        <f t="shared" si="1"/>
        <v>9</v>
      </c>
      <c r="B14" s="176" t="s">
        <v>460</v>
      </c>
      <c r="C14" s="176" t="s">
        <v>235</v>
      </c>
      <c r="D14" s="176" t="s">
        <v>436</v>
      </c>
      <c r="E14" s="176" t="s">
        <v>437</v>
      </c>
      <c r="F14" s="176">
        <v>188</v>
      </c>
      <c r="G14" s="176">
        <v>253.7441</v>
      </c>
      <c r="H14" s="177">
        <v>30</v>
      </c>
      <c r="I14" s="177">
        <v>32056363.739999998</v>
      </c>
      <c r="J14" s="177">
        <v>1602818.19</v>
      </c>
      <c r="K14" s="177">
        <v>27660804.91</v>
      </c>
      <c r="L14" s="194">
        <v>1383040.25</v>
      </c>
      <c r="M14" s="251"/>
      <c r="N14" s="252"/>
    </row>
    <row r="15" spans="1:14" ht="18.600000000000001" customHeight="1" thickTop="1" thickBot="1" x14ac:dyDescent="0.35">
      <c r="A15" s="201">
        <f t="shared" ref="A15" si="2">ROW()-5</f>
        <v>10</v>
      </c>
      <c r="B15" s="176" t="s">
        <v>373</v>
      </c>
      <c r="C15" s="176" t="s">
        <v>235</v>
      </c>
      <c r="D15" s="176" t="s">
        <v>144</v>
      </c>
      <c r="E15" s="176" t="s">
        <v>240</v>
      </c>
      <c r="F15" s="176">
        <v>188</v>
      </c>
      <c r="G15" s="176">
        <v>262.7149</v>
      </c>
      <c r="H15" s="177">
        <v>30</v>
      </c>
      <c r="I15" s="177">
        <v>35027752.950000003</v>
      </c>
      <c r="J15" s="177">
        <v>1751387.65</v>
      </c>
      <c r="K15" s="246"/>
      <c r="L15" s="247"/>
      <c r="M15" s="251"/>
      <c r="N15" s="252"/>
    </row>
    <row r="16" spans="1:14" ht="18.600000000000001" customHeight="1" thickTop="1" thickBot="1" x14ac:dyDescent="0.35">
      <c r="A16" s="201">
        <f t="shared" ref="A16" si="3">ROW()-5</f>
        <v>11</v>
      </c>
      <c r="B16" s="176" t="s">
        <v>241</v>
      </c>
      <c r="C16" s="176" t="s">
        <v>235</v>
      </c>
      <c r="D16" s="176" t="s">
        <v>242</v>
      </c>
      <c r="E16" s="176" t="s">
        <v>243</v>
      </c>
      <c r="F16" s="176">
        <v>175</v>
      </c>
      <c r="G16" s="176">
        <v>296.95659999999998</v>
      </c>
      <c r="H16" s="177">
        <v>43</v>
      </c>
      <c r="I16" s="177">
        <v>30670160.629999999</v>
      </c>
      <c r="J16" s="177">
        <v>1533508.03</v>
      </c>
      <c r="K16" s="246"/>
      <c r="L16" s="247"/>
      <c r="M16" s="251"/>
      <c r="N16" s="252"/>
    </row>
    <row r="17" spans="1:14" ht="18.600000000000001" customHeight="1" thickTop="1" thickBot="1" x14ac:dyDescent="0.35">
      <c r="A17" s="201">
        <f t="shared" ref="A17:A19" si="4">ROW()-5</f>
        <v>12</v>
      </c>
      <c r="B17" s="176" t="s">
        <v>345</v>
      </c>
      <c r="C17" s="176" t="s">
        <v>235</v>
      </c>
      <c r="D17" s="176" t="s">
        <v>244</v>
      </c>
      <c r="E17" s="176" t="s">
        <v>245</v>
      </c>
      <c r="F17" s="176">
        <v>195</v>
      </c>
      <c r="G17" s="176">
        <v>319.03429999999997</v>
      </c>
      <c r="H17" s="177">
        <v>30</v>
      </c>
      <c r="I17" s="177">
        <v>38479333.149999999</v>
      </c>
      <c r="J17" s="177">
        <v>1923966.66</v>
      </c>
      <c r="K17" s="246"/>
      <c r="L17" s="247"/>
      <c r="M17" s="251"/>
      <c r="N17" s="252"/>
    </row>
    <row r="18" spans="1:14" ht="18.600000000000001" customHeight="1" thickTop="1" thickBot="1" x14ac:dyDescent="0.35">
      <c r="A18" s="201">
        <f t="shared" si="4"/>
        <v>13</v>
      </c>
      <c r="B18" s="176" t="s">
        <v>246</v>
      </c>
      <c r="C18" s="176" t="s">
        <v>235</v>
      </c>
      <c r="D18" s="176" t="s">
        <v>244</v>
      </c>
      <c r="E18" s="176" t="s">
        <v>245</v>
      </c>
      <c r="F18" s="176">
        <v>195</v>
      </c>
      <c r="G18" s="176">
        <v>332.74630000000002</v>
      </c>
      <c r="H18" s="177">
        <v>30</v>
      </c>
      <c r="I18" s="177">
        <v>39587895.899999999</v>
      </c>
      <c r="J18" s="177">
        <v>1979394.79</v>
      </c>
      <c r="K18" s="246"/>
      <c r="L18" s="247"/>
      <c r="M18" s="251"/>
      <c r="N18" s="252"/>
    </row>
    <row r="19" spans="1:14" ht="18.600000000000001" customHeight="1" thickTop="1" thickBot="1" x14ac:dyDescent="0.35">
      <c r="A19" s="201">
        <f t="shared" si="4"/>
        <v>14</v>
      </c>
      <c r="B19" s="176" t="s">
        <v>469</v>
      </c>
      <c r="C19" s="176" t="s">
        <v>235</v>
      </c>
      <c r="D19" s="176" t="s">
        <v>436</v>
      </c>
      <c r="E19" s="176" t="s">
        <v>437</v>
      </c>
      <c r="F19" s="176">
        <v>188</v>
      </c>
      <c r="G19" s="176">
        <v>232.6086</v>
      </c>
      <c r="H19" s="177">
        <v>30</v>
      </c>
      <c r="I19" s="177">
        <v>31500508.399999999</v>
      </c>
      <c r="J19" s="177">
        <v>1575025.42</v>
      </c>
      <c r="K19" s="246"/>
      <c r="L19" s="247"/>
      <c r="M19" s="251"/>
      <c r="N19" s="252"/>
    </row>
    <row r="20" spans="1:14" ht="18.600000000000001" customHeight="1" thickTop="1" thickBot="1" x14ac:dyDescent="0.35">
      <c r="A20" s="201">
        <f t="shared" ref="A20:A23" si="5">ROW()-5</f>
        <v>15</v>
      </c>
      <c r="B20" s="176" t="s">
        <v>435</v>
      </c>
      <c r="C20" s="176" t="s">
        <v>235</v>
      </c>
      <c r="D20" s="176" t="s">
        <v>436</v>
      </c>
      <c r="E20" s="176" t="s">
        <v>437</v>
      </c>
      <c r="F20" s="176">
        <v>188</v>
      </c>
      <c r="G20" s="176">
        <v>244.05189999999999</v>
      </c>
      <c r="H20" s="177">
        <v>30</v>
      </c>
      <c r="I20" s="177">
        <v>33500218.02</v>
      </c>
      <c r="J20" s="177">
        <v>1675010.9</v>
      </c>
      <c r="K20" s="246"/>
      <c r="L20" s="247"/>
      <c r="M20" s="251"/>
      <c r="N20" s="252"/>
    </row>
    <row r="21" spans="1:14" ht="18.600000000000001" customHeight="1" thickTop="1" thickBot="1" x14ac:dyDescent="0.35">
      <c r="A21" s="201">
        <f t="shared" si="5"/>
        <v>16</v>
      </c>
      <c r="B21" s="176" t="s">
        <v>438</v>
      </c>
      <c r="C21" s="176" t="s">
        <v>235</v>
      </c>
      <c r="D21" s="176" t="s">
        <v>144</v>
      </c>
      <c r="E21" s="176" t="s">
        <v>240</v>
      </c>
      <c r="F21" s="176">
        <v>188</v>
      </c>
      <c r="G21" s="176">
        <v>232.61199999999999</v>
      </c>
      <c r="H21" s="177">
        <v>30</v>
      </c>
      <c r="I21" s="177">
        <v>33254705.57</v>
      </c>
      <c r="J21" s="177">
        <v>1662735.28</v>
      </c>
      <c r="K21" s="246"/>
      <c r="L21" s="247"/>
      <c r="M21" s="251"/>
      <c r="N21" s="252"/>
    </row>
    <row r="22" spans="1:14" ht="18.600000000000001" customHeight="1" thickTop="1" thickBot="1" x14ac:dyDescent="0.35">
      <c r="A22" s="201">
        <f t="shared" si="5"/>
        <v>17</v>
      </c>
      <c r="B22" s="176" t="s">
        <v>439</v>
      </c>
      <c r="C22" s="176" t="s">
        <v>235</v>
      </c>
      <c r="D22" s="176" t="s">
        <v>436</v>
      </c>
      <c r="E22" s="176" t="s">
        <v>437</v>
      </c>
      <c r="F22" s="176">
        <v>188</v>
      </c>
      <c r="G22" s="176">
        <v>244.18119999999999</v>
      </c>
      <c r="H22" s="177">
        <v>30</v>
      </c>
      <c r="I22" s="177">
        <v>33511167.68</v>
      </c>
      <c r="J22" s="177">
        <v>1675558.38</v>
      </c>
      <c r="K22" s="246"/>
      <c r="L22" s="247"/>
      <c r="M22" s="251"/>
      <c r="N22" s="252"/>
    </row>
    <row r="23" spans="1:14" ht="18.600000000000001" customHeight="1" thickTop="1" thickBot="1" x14ac:dyDescent="0.35">
      <c r="A23" s="201">
        <f t="shared" si="5"/>
        <v>18</v>
      </c>
      <c r="B23" s="176" t="s">
        <v>470</v>
      </c>
      <c r="C23" s="176" t="s">
        <v>235</v>
      </c>
      <c r="D23" s="176" t="s">
        <v>144</v>
      </c>
      <c r="E23" s="176" t="s">
        <v>240</v>
      </c>
      <c r="F23" s="176">
        <v>188</v>
      </c>
      <c r="G23" s="176">
        <v>236.0446</v>
      </c>
      <c r="H23" s="177">
        <v>30</v>
      </c>
      <c r="I23" s="177">
        <v>32822126.940000001</v>
      </c>
      <c r="J23" s="177">
        <v>1641106.35</v>
      </c>
      <c r="K23" s="246"/>
      <c r="L23" s="247"/>
      <c r="M23" s="251"/>
      <c r="N23" s="252"/>
    </row>
    <row r="24" spans="1:14" ht="18.600000000000001" customHeight="1" thickTop="1" thickBot="1" x14ac:dyDescent="0.35">
      <c r="A24" s="201">
        <f t="shared" ref="A24:A37" si="6">ROW()-5</f>
        <v>19</v>
      </c>
      <c r="B24" s="176" t="s">
        <v>440</v>
      </c>
      <c r="C24" s="176" t="s">
        <v>235</v>
      </c>
      <c r="D24" s="176" t="s">
        <v>436</v>
      </c>
      <c r="E24" s="176" t="s">
        <v>437</v>
      </c>
      <c r="F24" s="176">
        <v>188</v>
      </c>
      <c r="G24" s="176">
        <v>244.28960000000001</v>
      </c>
      <c r="H24" s="177">
        <v>30</v>
      </c>
      <c r="I24" s="177">
        <v>33946205.43</v>
      </c>
      <c r="J24" s="177">
        <v>1697310.27</v>
      </c>
      <c r="K24" s="246"/>
      <c r="L24" s="247"/>
      <c r="M24" s="251"/>
      <c r="N24" s="252"/>
    </row>
    <row r="25" spans="1:14" ht="18.600000000000001" customHeight="1" thickTop="1" thickBot="1" x14ac:dyDescent="0.35">
      <c r="A25" s="201">
        <f t="shared" si="6"/>
        <v>20</v>
      </c>
      <c r="B25" s="176" t="s">
        <v>441</v>
      </c>
      <c r="C25" s="176" t="s">
        <v>235</v>
      </c>
      <c r="D25" s="176" t="s">
        <v>144</v>
      </c>
      <c r="E25" s="176" t="s">
        <v>240</v>
      </c>
      <c r="F25" s="176">
        <v>188</v>
      </c>
      <c r="G25" s="176">
        <v>237.3</v>
      </c>
      <c r="H25" s="177">
        <v>30</v>
      </c>
      <c r="I25" s="177">
        <v>33346777.5</v>
      </c>
      <c r="J25" s="177">
        <v>1667338.87</v>
      </c>
      <c r="K25" s="246"/>
      <c r="L25" s="247"/>
      <c r="M25" s="251"/>
      <c r="N25" s="252"/>
    </row>
    <row r="26" spans="1:14" ht="18.600000000000001" customHeight="1" thickTop="1" thickBot="1" x14ac:dyDescent="0.35">
      <c r="A26" s="201">
        <f t="shared" si="6"/>
        <v>21</v>
      </c>
      <c r="B26" s="176" t="s">
        <v>480</v>
      </c>
      <c r="C26" s="176" t="s">
        <v>481</v>
      </c>
      <c r="D26" s="176" t="s">
        <v>482</v>
      </c>
      <c r="E26" s="176" t="s">
        <v>483</v>
      </c>
      <c r="F26" s="176">
        <v>200</v>
      </c>
      <c r="G26" s="176">
        <v>245.26</v>
      </c>
      <c r="H26" s="177">
        <v>55</v>
      </c>
      <c r="I26" s="177">
        <v>31381684</v>
      </c>
      <c r="J26" s="177">
        <v>1569084.2</v>
      </c>
      <c r="K26" s="246"/>
      <c r="L26" s="247"/>
      <c r="M26" s="251"/>
      <c r="N26" s="252"/>
    </row>
    <row r="27" spans="1:14" ht="18.600000000000001" customHeight="1" thickTop="1" thickBot="1" x14ac:dyDescent="0.35">
      <c r="A27" s="201">
        <f t="shared" si="6"/>
        <v>22</v>
      </c>
      <c r="B27" s="176" t="s">
        <v>484</v>
      </c>
      <c r="C27" s="176" t="s">
        <v>481</v>
      </c>
      <c r="D27" s="176" t="s">
        <v>485</v>
      </c>
      <c r="E27" s="176" t="s">
        <v>486</v>
      </c>
      <c r="F27" s="176">
        <v>195</v>
      </c>
      <c r="G27" s="176">
        <v>154.08000000000001</v>
      </c>
      <c r="H27" s="177">
        <v>54</v>
      </c>
      <c r="I27" s="177">
        <v>27805550</v>
      </c>
      <c r="J27" s="177">
        <v>1390277.5</v>
      </c>
      <c r="K27" s="246"/>
      <c r="L27" s="247"/>
      <c r="M27" s="251"/>
      <c r="N27" s="252"/>
    </row>
    <row r="28" spans="1:14" ht="18.600000000000001" customHeight="1" thickTop="1" thickBot="1" x14ac:dyDescent="0.35">
      <c r="A28" s="201">
        <f t="shared" si="6"/>
        <v>23</v>
      </c>
      <c r="B28" s="176" t="s">
        <v>487</v>
      </c>
      <c r="C28" s="176" t="s">
        <v>481</v>
      </c>
      <c r="D28" s="176" t="s">
        <v>485</v>
      </c>
      <c r="E28" s="176" t="s">
        <v>488</v>
      </c>
      <c r="F28" s="176">
        <v>195</v>
      </c>
      <c r="G28" s="176">
        <v>154.08000000000001</v>
      </c>
      <c r="H28" s="177">
        <v>54</v>
      </c>
      <c r="I28" s="177">
        <v>27805550</v>
      </c>
      <c r="J28" s="177">
        <v>1390277.5</v>
      </c>
      <c r="K28" s="246"/>
      <c r="L28" s="247"/>
      <c r="M28" s="251"/>
      <c r="N28" s="252"/>
    </row>
    <row r="29" spans="1:14" ht="18.600000000000001" customHeight="1" thickTop="1" thickBot="1" x14ac:dyDescent="0.35">
      <c r="A29" s="201">
        <f t="shared" si="6"/>
        <v>24</v>
      </c>
      <c r="B29" s="176" t="s">
        <v>489</v>
      </c>
      <c r="C29" s="176" t="s">
        <v>481</v>
      </c>
      <c r="D29" s="176" t="s">
        <v>485</v>
      </c>
      <c r="E29" s="176" t="s">
        <v>486</v>
      </c>
      <c r="F29" s="176">
        <v>195</v>
      </c>
      <c r="G29" s="176">
        <v>150.49</v>
      </c>
      <c r="H29" s="177">
        <v>54</v>
      </c>
      <c r="I29" s="177">
        <v>26449094</v>
      </c>
      <c r="J29" s="177">
        <v>1322454.7</v>
      </c>
      <c r="K29" s="246"/>
      <c r="L29" s="247"/>
      <c r="M29" s="251"/>
      <c r="N29" s="252"/>
    </row>
    <row r="30" spans="1:14" ht="18.600000000000001" customHeight="1" thickTop="1" thickBot="1" x14ac:dyDescent="0.35">
      <c r="A30" s="201">
        <f t="shared" si="6"/>
        <v>25</v>
      </c>
      <c r="B30" s="176" t="s">
        <v>490</v>
      </c>
      <c r="C30" s="176" t="s">
        <v>481</v>
      </c>
      <c r="D30" s="176" t="s">
        <v>485</v>
      </c>
      <c r="E30" s="176" t="s">
        <v>486</v>
      </c>
      <c r="F30" s="176">
        <v>195</v>
      </c>
      <c r="G30" s="176">
        <v>150.44</v>
      </c>
      <c r="H30" s="177">
        <v>54</v>
      </c>
      <c r="I30" s="177">
        <v>26292764</v>
      </c>
      <c r="J30" s="177">
        <v>1314638.2</v>
      </c>
      <c r="K30" s="246"/>
      <c r="L30" s="247"/>
      <c r="M30" s="251"/>
      <c r="N30" s="252"/>
    </row>
    <row r="31" spans="1:14" ht="18.600000000000001" customHeight="1" thickTop="1" thickBot="1" x14ac:dyDescent="0.35">
      <c r="A31" s="201">
        <f t="shared" si="6"/>
        <v>26</v>
      </c>
      <c r="B31" s="176" t="s">
        <v>491</v>
      </c>
      <c r="C31" s="176" t="s">
        <v>481</v>
      </c>
      <c r="D31" s="176" t="s">
        <v>482</v>
      </c>
      <c r="E31" s="176" t="s">
        <v>483</v>
      </c>
      <c r="F31" s="176">
        <v>200</v>
      </c>
      <c r="G31" s="176">
        <v>267.14</v>
      </c>
      <c r="H31" s="177">
        <v>55</v>
      </c>
      <c r="I31" s="177">
        <v>31357664</v>
      </c>
      <c r="J31" s="177">
        <v>1567883.2</v>
      </c>
      <c r="K31" s="246"/>
      <c r="L31" s="247"/>
      <c r="M31" s="251"/>
      <c r="N31" s="252"/>
    </row>
    <row r="32" spans="1:14" ht="18.600000000000001" customHeight="1" thickTop="1" thickBot="1" x14ac:dyDescent="0.35">
      <c r="A32" s="201">
        <f t="shared" si="6"/>
        <v>27</v>
      </c>
      <c r="B32" s="176" t="s">
        <v>492</v>
      </c>
      <c r="C32" s="176" t="s">
        <v>481</v>
      </c>
      <c r="D32" s="176" t="s">
        <v>485</v>
      </c>
      <c r="E32" s="176" t="s">
        <v>488</v>
      </c>
      <c r="F32" s="176">
        <v>195</v>
      </c>
      <c r="G32" s="176">
        <v>165.66</v>
      </c>
      <c r="H32" s="177">
        <v>54</v>
      </c>
      <c r="I32" s="177">
        <v>29154848</v>
      </c>
      <c r="J32" s="177">
        <v>1457742.4</v>
      </c>
      <c r="K32" s="246"/>
      <c r="L32" s="247"/>
      <c r="M32" s="251"/>
      <c r="N32" s="252"/>
    </row>
    <row r="33" spans="1:14" ht="18.600000000000001" customHeight="1" thickTop="1" thickBot="1" x14ac:dyDescent="0.35">
      <c r="A33" s="201">
        <f t="shared" si="6"/>
        <v>28</v>
      </c>
      <c r="B33" s="176" t="s">
        <v>493</v>
      </c>
      <c r="C33" s="176" t="s">
        <v>481</v>
      </c>
      <c r="D33" s="176" t="s">
        <v>482</v>
      </c>
      <c r="E33" s="176" t="s">
        <v>494</v>
      </c>
      <c r="F33" s="176">
        <v>200</v>
      </c>
      <c r="G33" s="176">
        <v>256.51</v>
      </c>
      <c r="H33" s="177">
        <v>55</v>
      </c>
      <c r="I33" s="177">
        <v>30427960</v>
      </c>
      <c r="J33" s="177">
        <v>1521398</v>
      </c>
      <c r="K33" s="246"/>
      <c r="L33" s="247"/>
      <c r="M33" s="251"/>
      <c r="N33" s="252"/>
    </row>
    <row r="34" spans="1:14" ht="18.600000000000001" customHeight="1" thickTop="1" thickBot="1" x14ac:dyDescent="0.35">
      <c r="A34" s="201">
        <f t="shared" si="6"/>
        <v>29</v>
      </c>
      <c r="B34" s="176" t="s">
        <v>505</v>
      </c>
      <c r="C34" s="176" t="s">
        <v>235</v>
      </c>
      <c r="D34" s="176" t="s">
        <v>436</v>
      </c>
      <c r="E34" s="176" t="s">
        <v>437</v>
      </c>
      <c r="F34" s="176">
        <v>188</v>
      </c>
      <c r="G34" s="176">
        <v>240.1223</v>
      </c>
      <c r="H34" s="177">
        <v>30</v>
      </c>
      <c r="I34" s="177">
        <v>31010532.420000002</v>
      </c>
      <c r="J34" s="177">
        <v>1550526.62</v>
      </c>
      <c r="K34" s="246"/>
      <c r="L34" s="247"/>
      <c r="M34" s="251"/>
      <c r="N34" s="252"/>
    </row>
    <row r="35" spans="1:14" ht="18.600000000000001" customHeight="1" thickTop="1" thickBot="1" x14ac:dyDescent="0.35">
      <c r="A35" s="201">
        <f t="shared" si="6"/>
        <v>30</v>
      </c>
      <c r="B35" s="176" t="s">
        <v>496</v>
      </c>
      <c r="C35" s="176" t="s">
        <v>495</v>
      </c>
      <c r="D35" s="176" t="s">
        <v>497</v>
      </c>
      <c r="E35" s="176" t="s">
        <v>486</v>
      </c>
      <c r="F35" s="176">
        <v>195</v>
      </c>
      <c r="G35" s="176">
        <v>163.05000000000001</v>
      </c>
      <c r="H35" s="177">
        <v>54</v>
      </c>
      <c r="I35" s="177">
        <v>27355024</v>
      </c>
      <c r="J35" s="177">
        <v>1367751.2</v>
      </c>
      <c r="K35" s="246"/>
      <c r="L35" s="247"/>
      <c r="M35" s="251"/>
      <c r="N35" s="252"/>
    </row>
    <row r="36" spans="1:14" ht="18.600000000000001" customHeight="1" thickTop="1" thickBot="1" x14ac:dyDescent="0.35">
      <c r="A36" s="201">
        <f t="shared" si="6"/>
        <v>31</v>
      </c>
      <c r="B36" s="176" t="s">
        <v>498</v>
      </c>
      <c r="C36" s="176" t="s">
        <v>495</v>
      </c>
      <c r="D36" s="176" t="s">
        <v>499</v>
      </c>
      <c r="E36" s="176" t="s">
        <v>488</v>
      </c>
      <c r="F36" s="176">
        <v>195</v>
      </c>
      <c r="G36" s="176">
        <v>162.66</v>
      </c>
      <c r="H36" s="177">
        <v>54</v>
      </c>
      <c r="I36" s="177">
        <v>26332088</v>
      </c>
      <c r="J36" s="177">
        <v>1316604.3999999999</v>
      </c>
      <c r="K36" s="246"/>
      <c r="L36" s="247"/>
      <c r="M36" s="251"/>
      <c r="N36" s="252"/>
    </row>
    <row r="37" spans="1:14" ht="18.600000000000001" customHeight="1" thickTop="1" thickBot="1" x14ac:dyDescent="0.35">
      <c r="A37" s="201">
        <f t="shared" si="6"/>
        <v>32</v>
      </c>
      <c r="B37" s="176" t="s">
        <v>500</v>
      </c>
      <c r="C37" s="176" t="s">
        <v>495</v>
      </c>
      <c r="D37" s="176" t="s">
        <v>499</v>
      </c>
      <c r="E37" s="176" t="s">
        <v>488</v>
      </c>
      <c r="F37" s="176">
        <v>195</v>
      </c>
      <c r="G37" s="176">
        <v>163.80000000000001</v>
      </c>
      <c r="H37" s="177">
        <v>54</v>
      </c>
      <c r="I37" s="177">
        <v>26516492</v>
      </c>
      <c r="J37" s="177">
        <v>1325824.6000000001</v>
      </c>
      <c r="K37" s="246"/>
      <c r="L37" s="247"/>
      <c r="M37" s="251"/>
      <c r="N37" s="252"/>
    </row>
    <row r="38" spans="1:14" ht="24.6" customHeight="1" thickTop="1" thickBot="1" x14ac:dyDescent="0.35">
      <c r="A38" s="201">
        <f>ROW()-5</f>
        <v>33</v>
      </c>
      <c r="B38" s="176" t="s">
        <v>503</v>
      </c>
      <c r="C38" s="176" t="s">
        <v>235</v>
      </c>
      <c r="D38" s="176" t="s">
        <v>501</v>
      </c>
      <c r="E38" s="176" t="s">
        <v>504</v>
      </c>
      <c r="F38" s="176">
        <v>165</v>
      </c>
      <c r="G38" s="176">
        <v>152.38</v>
      </c>
      <c r="H38" s="177">
        <v>30</v>
      </c>
      <c r="I38" s="177">
        <v>22770826</v>
      </c>
      <c r="J38" s="177">
        <v>1138541.3</v>
      </c>
      <c r="K38" s="246"/>
      <c r="L38" s="247"/>
      <c r="M38" s="251"/>
      <c r="N38" s="252"/>
    </row>
    <row r="39" spans="1:14" ht="25.2" customHeight="1" thickTop="1" thickBot="1" x14ac:dyDescent="0.35">
      <c r="A39" s="195"/>
      <c r="B39" s="196"/>
      <c r="C39" s="197"/>
      <c r="D39" s="197"/>
      <c r="E39" s="197"/>
      <c r="F39" s="197"/>
      <c r="G39" s="197"/>
      <c r="H39" s="197"/>
      <c r="I39" s="198"/>
      <c r="J39" s="199"/>
      <c r="K39" s="161"/>
      <c r="L39" s="162"/>
    </row>
    <row r="41" spans="1:14" x14ac:dyDescent="0.3">
      <c r="B41" s="130"/>
    </row>
    <row r="42" spans="1:14" x14ac:dyDescent="0.3">
      <c r="B42" s="129"/>
    </row>
    <row r="43" spans="1:14" x14ac:dyDescent="0.3">
      <c r="B43" s="249"/>
      <c r="D43" s="180"/>
      <c r="I43" s="172"/>
      <c r="J43" s="172"/>
    </row>
    <row r="44" spans="1:14" x14ac:dyDescent="0.3">
      <c r="B44" s="250"/>
      <c r="D44" s="250"/>
      <c r="I44" s="172"/>
      <c r="J44" s="172"/>
    </row>
    <row r="45" spans="1:14" x14ac:dyDescent="0.3">
      <c r="B45" s="250"/>
      <c r="D45" s="250"/>
      <c r="I45" s="172"/>
      <c r="J45" s="172"/>
    </row>
    <row r="46" spans="1:14" x14ac:dyDescent="0.3">
      <c r="B46" s="250"/>
      <c r="D46" s="250"/>
      <c r="I46" s="172"/>
      <c r="J46" s="172"/>
    </row>
    <row r="47" spans="1:14" x14ac:dyDescent="0.3">
      <c r="B47" s="250"/>
      <c r="D47" s="250"/>
      <c r="I47" s="172"/>
      <c r="J47" s="172"/>
    </row>
    <row r="48" spans="1:14" x14ac:dyDescent="0.3">
      <c r="B48" s="250"/>
      <c r="I48" s="172"/>
      <c r="J48" s="172"/>
    </row>
    <row r="49" spans="2:10" x14ac:dyDescent="0.3">
      <c r="B49" s="250"/>
      <c r="I49" s="172"/>
      <c r="J49" s="172"/>
    </row>
    <row r="50" spans="2:10" x14ac:dyDescent="0.3">
      <c r="B50" s="250"/>
      <c r="I50" s="172"/>
      <c r="J50" s="172"/>
    </row>
    <row r="51" spans="2:10" x14ac:dyDescent="0.3">
      <c r="B51" s="250"/>
      <c r="I51" s="172"/>
      <c r="J51" s="172"/>
    </row>
    <row r="52" spans="2:10" x14ac:dyDescent="0.3">
      <c r="B52" s="250"/>
      <c r="I52" s="172"/>
      <c r="J52" s="172"/>
    </row>
    <row r="53" spans="2:10" x14ac:dyDescent="0.3">
      <c r="B53" s="250"/>
      <c r="I53" s="172"/>
      <c r="J53" s="172"/>
    </row>
    <row r="54" spans="2:10" x14ac:dyDescent="0.3">
      <c r="B54" s="250"/>
      <c r="I54" s="172"/>
      <c r="J54" s="172"/>
    </row>
    <row r="55" spans="2:10" x14ac:dyDescent="0.3">
      <c r="B55" s="250"/>
      <c r="I55" s="172"/>
      <c r="J55" s="172"/>
    </row>
    <row r="56" spans="2:10" x14ac:dyDescent="0.3">
      <c r="B56" s="250"/>
      <c r="I56" s="172"/>
      <c r="J56" s="172"/>
    </row>
    <row r="57" spans="2:10" x14ac:dyDescent="0.3">
      <c r="B57" s="250"/>
      <c r="I57" s="172"/>
      <c r="J57" s="172"/>
    </row>
    <row r="58" spans="2:10" x14ac:dyDescent="0.3">
      <c r="B58" s="250"/>
      <c r="I58" s="172"/>
      <c r="J58" s="172"/>
    </row>
    <row r="59" spans="2:10" x14ac:dyDescent="0.3">
      <c r="B59" s="250"/>
      <c r="I59" s="172"/>
      <c r="J59" s="172"/>
    </row>
    <row r="60" spans="2:10" x14ac:dyDescent="0.3">
      <c r="B60" s="250"/>
      <c r="I60" s="172"/>
      <c r="J60" s="172"/>
    </row>
    <row r="61" spans="2:10" x14ac:dyDescent="0.3">
      <c r="B61" s="250"/>
      <c r="I61" s="172"/>
      <c r="J61" s="172"/>
    </row>
    <row r="62" spans="2:10" x14ac:dyDescent="0.3">
      <c r="B62" s="250"/>
      <c r="I62" s="172"/>
      <c r="J62" s="172"/>
    </row>
    <row r="63" spans="2:10" x14ac:dyDescent="0.3">
      <c r="B63" s="250"/>
      <c r="I63" s="172"/>
      <c r="J63" s="172"/>
    </row>
    <row r="64" spans="2:10" x14ac:dyDescent="0.3">
      <c r="B64" s="250"/>
      <c r="I64" s="172"/>
      <c r="J64" s="172"/>
    </row>
    <row r="65" spans="2:10" x14ac:dyDescent="0.3">
      <c r="B65" s="250"/>
      <c r="I65" s="172"/>
      <c r="J65" s="172"/>
    </row>
    <row r="66" spans="2:10" x14ac:dyDescent="0.3">
      <c r="B66" s="250"/>
      <c r="I66" s="172"/>
      <c r="J66" s="172"/>
    </row>
    <row r="67" spans="2:10" x14ac:dyDescent="0.3">
      <c r="B67" s="250"/>
      <c r="I67" s="172"/>
      <c r="J67" s="172"/>
    </row>
    <row r="68" spans="2:10" x14ac:dyDescent="0.3">
      <c r="B68" s="250"/>
      <c r="I68" s="172"/>
      <c r="J68" s="172"/>
    </row>
    <row r="69" spans="2:10" x14ac:dyDescent="0.3">
      <c r="B69" s="250"/>
      <c r="I69" s="172"/>
      <c r="J69" s="172"/>
    </row>
    <row r="70" spans="2:10" x14ac:dyDescent="0.3">
      <c r="B70" s="250"/>
      <c r="I70" s="172"/>
      <c r="J70" s="172"/>
    </row>
    <row r="71" spans="2:10" x14ac:dyDescent="0.3">
      <c r="B71" s="250"/>
      <c r="I71" s="172"/>
      <c r="J71" s="172"/>
    </row>
    <row r="72" spans="2:10" x14ac:dyDescent="0.3">
      <c r="B72" s="250"/>
    </row>
    <row r="73" spans="2:10" x14ac:dyDescent="0.3">
      <c r="B73" s="250"/>
    </row>
    <row r="74" spans="2:10" x14ac:dyDescent="0.3">
      <c r="B74" s="250"/>
    </row>
    <row r="75" spans="2:10" x14ac:dyDescent="0.3">
      <c r="B75" s="250"/>
    </row>
    <row r="76" spans="2:10" x14ac:dyDescent="0.3">
      <c r="B76" s="250"/>
    </row>
    <row r="77" spans="2:10" x14ac:dyDescent="0.3">
      <c r="B77" s="250"/>
    </row>
    <row r="78" spans="2:10" x14ac:dyDescent="0.3">
      <c r="B78" s="250"/>
    </row>
    <row r="79" spans="2:10" x14ac:dyDescent="0.3">
      <c r="B79" s="250"/>
    </row>
    <row r="80" spans="2:10" x14ac:dyDescent="0.3">
      <c r="B80" s="250"/>
    </row>
    <row r="81" spans="2:2" x14ac:dyDescent="0.3">
      <c r="B81" s="250"/>
    </row>
    <row r="82" spans="2:2" x14ac:dyDescent="0.3">
      <c r="B82" s="250"/>
    </row>
    <row r="83" spans="2:2" x14ac:dyDescent="0.3">
      <c r="B83" s="250"/>
    </row>
    <row r="84" spans="2:2" x14ac:dyDescent="0.3">
      <c r="B84" s="250"/>
    </row>
    <row r="85" spans="2:2" x14ac:dyDescent="0.3">
      <c r="B85" s="250"/>
    </row>
    <row r="86" spans="2:2" x14ac:dyDescent="0.3">
      <c r="B86" s="250"/>
    </row>
    <row r="87" spans="2:2" x14ac:dyDescent="0.3">
      <c r="B87" s="250"/>
    </row>
    <row r="88" spans="2:2" x14ac:dyDescent="0.3">
      <c r="B88" s="250"/>
    </row>
    <row r="89" spans="2:2" x14ac:dyDescent="0.3">
      <c r="B89" s="250"/>
    </row>
    <row r="90" spans="2:2" x14ac:dyDescent="0.3">
      <c r="B90" s="250"/>
    </row>
    <row r="91" spans="2:2" x14ac:dyDescent="0.3">
      <c r="B91" s="250"/>
    </row>
    <row r="92" spans="2:2" x14ac:dyDescent="0.3">
      <c r="B92" s="181"/>
    </row>
    <row r="93" spans="2:2" x14ac:dyDescent="0.3">
      <c r="B93" s="181"/>
    </row>
    <row r="94" spans="2:2" x14ac:dyDescent="0.3">
      <c r="B94" s="181"/>
    </row>
    <row r="95" spans="2:2" x14ac:dyDescent="0.3">
      <c r="B95" s="181"/>
    </row>
    <row r="96" spans="2:2" x14ac:dyDescent="0.3">
      <c r="B96" s="181"/>
    </row>
    <row r="97" spans="2:2" x14ac:dyDescent="0.3">
      <c r="B97" s="181"/>
    </row>
    <row r="98" spans="2:2" x14ac:dyDescent="0.3">
      <c r="B98" s="181"/>
    </row>
    <row r="99" spans="2:2" x14ac:dyDescent="0.3">
      <c r="B99" s="181"/>
    </row>
    <row r="100" spans="2:2" x14ac:dyDescent="0.3">
      <c r="B100" s="181"/>
    </row>
    <row r="101" spans="2:2" x14ac:dyDescent="0.3">
      <c r="B101" s="181"/>
    </row>
    <row r="102" spans="2:2" x14ac:dyDescent="0.3">
      <c r="B102" s="181"/>
    </row>
    <row r="103" spans="2:2" x14ac:dyDescent="0.3">
      <c r="B103" s="181"/>
    </row>
    <row r="104" spans="2:2" x14ac:dyDescent="0.3">
      <c r="B104" s="181"/>
    </row>
    <row r="105" spans="2:2" x14ac:dyDescent="0.3">
      <c r="B105" s="181"/>
    </row>
    <row r="106" spans="2:2" x14ac:dyDescent="0.3">
      <c r="B106" s="181"/>
    </row>
    <row r="107" spans="2:2" x14ac:dyDescent="0.3">
      <c r="B107" s="181"/>
    </row>
    <row r="108" spans="2:2" x14ac:dyDescent="0.3">
      <c r="B108" s="181"/>
    </row>
    <row r="109" spans="2:2" x14ac:dyDescent="0.3">
      <c r="B109" s="181"/>
    </row>
    <row r="110" spans="2:2" x14ac:dyDescent="0.3">
      <c r="B110" s="181"/>
    </row>
    <row r="111" spans="2:2" x14ac:dyDescent="0.3">
      <c r="B111" s="181"/>
    </row>
    <row r="112" spans="2:2" x14ac:dyDescent="0.3">
      <c r="B112" s="181"/>
    </row>
    <row r="113" spans="2:2" x14ac:dyDescent="0.3">
      <c r="B113" s="181"/>
    </row>
    <row r="114" spans="2:2" x14ac:dyDescent="0.3">
      <c r="B114" s="181"/>
    </row>
    <row r="115" spans="2:2" x14ac:dyDescent="0.3">
      <c r="B115" s="181"/>
    </row>
    <row r="116" spans="2:2" x14ac:dyDescent="0.3">
      <c r="B116" s="181"/>
    </row>
    <row r="117" spans="2:2" x14ac:dyDescent="0.3">
      <c r="B117" s="181"/>
    </row>
    <row r="118" spans="2:2" x14ac:dyDescent="0.3">
      <c r="B118" s="181"/>
    </row>
    <row r="119" spans="2:2" x14ac:dyDescent="0.3">
      <c r="B119" s="181"/>
    </row>
    <row r="120" spans="2:2" x14ac:dyDescent="0.3">
      <c r="B120" s="181"/>
    </row>
    <row r="121" spans="2:2" x14ac:dyDescent="0.3">
      <c r="B121" s="181"/>
    </row>
    <row r="122" spans="2:2" x14ac:dyDescent="0.3">
      <c r="B122" s="181"/>
    </row>
    <row r="123" spans="2:2" x14ac:dyDescent="0.3">
      <c r="B123" s="181"/>
    </row>
    <row r="124" spans="2:2" x14ac:dyDescent="0.3">
      <c r="B124" s="181"/>
    </row>
    <row r="125" spans="2:2" x14ac:dyDescent="0.3">
      <c r="B125" s="181"/>
    </row>
    <row r="126" spans="2:2" x14ac:dyDescent="0.3">
      <c r="B126" s="181"/>
    </row>
    <row r="127" spans="2:2" x14ac:dyDescent="0.3">
      <c r="B127" s="181"/>
    </row>
    <row r="128" spans="2:2" x14ac:dyDescent="0.3">
      <c r="B128" s="181"/>
    </row>
    <row r="129" spans="2:2" x14ac:dyDescent="0.3">
      <c r="B129" s="181"/>
    </row>
    <row r="130" spans="2:2" x14ac:dyDescent="0.3">
      <c r="B130" s="181"/>
    </row>
    <row r="131" spans="2:2" x14ac:dyDescent="0.3">
      <c r="B131" s="181"/>
    </row>
    <row r="132" spans="2:2" x14ac:dyDescent="0.3">
      <c r="B132" s="181"/>
    </row>
    <row r="133" spans="2:2" x14ac:dyDescent="0.3">
      <c r="B133" s="181"/>
    </row>
    <row r="134" spans="2:2" x14ac:dyDescent="0.3">
      <c r="B134" s="181"/>
    </row>
    <row r="135" spans="2:2" x14ac:dyDescent="0.3">
      <c r="B135" s="181"/>
    </row>
    <row r="136" spans="2:2" x14ac:dyDescent="0.3">
      <c r="B136" s="181"/>
    </row>
    <row r="137" spans="2:2" x14ac:dyDescent="0.3">
      <c r="B137" s="181"/>
    </row>
    <row r="138" spans="2:2" x14ac:dyDescent="0.3">
      <c r="B138" s="181"/>
    </row>
    <row r="139" spans="2:2" x14ac:dyDescent="0.3">
      <c r="B139" s="181"/>
    </row>
  </sheetData>
  <mergeCells count="3">
    <mergeCell ref="A1:L1"/>
    <mergeCell ref="K4:L4"/>
    <mergeCell ref="I4:J4"/>
  </mergeCells>
  <phoneticPr fontId="21" type="noConversion"/>
  <conditionalFormatting sqref="A5">
    <cfRule type="duplicateValues" dxfId="383" priority="47"/>
    <cfRule type="duplicateValues" dxfId="382" priority="46"/>
    <cfRule type="duplicateValues" dxfId="381" priority="45"/>
  </conditionalFormatting>
  <conditionalFormatting sqref="B1:B1048576">
    <cfRule type="duplicateValues" dxfId="380" priority="1"/>
    <cfRule type="duplicateValues" dxfId="379" priority="2"/>
    <cfRule type="duplicateValues" dxfId="378" priority="5"/>
  </conditionalFormatting>
  <conditionalFormatting sqref="B2:B1048576">
    <cfRule type="duplicateValues" dxfId="377" priority="24"/>
  </conditionalFormatting>
  <conditionalFormatting sqref="B39">
    <cfRule type="duplicateValues" dxfId="376" priority="44"/>
    <cfRule type="duplicateValues" dxfId="375" priority="42"/>
    <cfRule type="duplicateValues" dxfId="374" priority="41"/>
    <cfRule type="duplicateValues" dxfId="373" priority="40"/>
    <cfRule type="duplicateValues" dxfId="372" priority="43"/>
  </conditionalFormatting>
  <conditionalFormatting sqref="B40">
    <cfRule type="duplicateValues" dxfId="371" priority="59"/>
    <cfRule type="duplicateValues" dxfId="370" priority="55"/>
  </conditionalFormatting>
  <conditionalFormatting sqref="B136:B1048576 B2:B42">
    <cfRule type="duplicateValues" dxfId="369" priority="25"/>
  </conditionalFormatting>
  <conditionalFormatting sqref="B140:B1048576 B2:B40">
    <cfRule type="duplicateValues" dxfId="368" priority="39"/>
    <cfRule type="duplicateValues" dxfId="367" priority="38"/>
  </conditionalFormatting>
  <conditionalFormatting sqref="B140:B1048576 B2:B41">
    <cfRule type="duplicateValues" dxfId="366" priority="34"/>
    <cfRule type="duplicateValues" dxfId="365" priority="35"/>
    <cfRule type="duplicateValues" dxfId="364" priority="32"/>
    <cfRule type="duplicateValues" dxfId="363" priority="33"/>
  </conditionalFormatting>
  <conditionalFormatting sqref="B140:B1048576 B2:B42">
    <cfRule type="duplicateValues" dxfId="362" priority="31"/>
    <cfRule type="duplicateValues" dxfId="361" priority="29"/>
    <cfRule type="duplicateValues" dxfId="360" priority="30"/>
  </conditionalFormatting>
  <conditionalFormatting sqref="B140:B1048576 B40 B6:B38">
    <cfRule type="duplicateValues" dxfId="359" priority="60"/>
  </conditionalFormatting>
  <conditionalFormatting sqref="B140:B1048576 B40">
    <cfRule type="duplicateValues" dxfId="358" priority="54"/>
    <cfRule type="duplicateValues" dxfId="357" priority="58"/>
  </conditionalFormatting>
  <conditionalFormatting sqref="B140:B1048576">
    <cfRule type="duplicateValues" dxfId="356" priority="36"/>
    <cfRule type="duplicateValues" dxfId="355" priority="37"/>
    <cfRule type="duplicateValues" dxfId="354" priority="51"/>
    <cfRule type="duplicateValues" dxfId="353" priority="52"/>
    <cfRule type="duplicateValues" dxfId="352" priority="53"/>
    <cfRule type="duplicateValues" dxfId="351" priority="56"/>
    <cfRule type="duplicateValues" dxfId="350" priority="57"/>
  </conditionalFormatting>
  <conditionalFormatting sqref="B5:I5">
    <cfRule type="duplicateValues" dxfId="349" priority="49"/>
    <cfRule type="duplicateValues" dxfId="348" priority="50"/>
    <cfRule type="duplicateValues" dxfId="347" priority="48"/>
  </conditionalFormatting>
  <conditionalFormatting sqref="D44:D47">
    <cfRule type="duplicateValues" dxfId="346" priority="3"/>
    <cfRule type="duplicateValues" dxfId="345" priority="4"/>
  </conditionalFormatting>
  <conditionalFormatting sqref="J5">
    <cfRule type="duplicateValues" dxfId="344" priority="28"/>
    <cfRule type="duplicateValues" dxfId="343" priority="27"/>
    <cfRule type="duplicateValues" dxfId="342" priority="26"/>
  </conditionalFormatting>
  <conditionalFormatting sqref="K5">
    <cfRule type="duplicateValues" dxfId="341" priority="11"/>
    <cfRule type="duplicateValues" dxfId="340" priority="10"/>
    <cfRule type="duplicateValues" dxfId="339" priority="9"/>
  </conditionalFormatting>
  <conditionalFormatting sqref="L5">
    <cfRule type="duplicateValues" dxfId="338" priority="7"/>
    <cfRule type="duplicateValues" dxfId="337" priority="8"/>
    <cfRule type="duplicateValues" dxfId="336" priority="6"/>
  </conditionalFormatting>
  <printOptions horizontalCentered="1"/>
  <pageMargins left="0" right="0" top="0.75" bottom="0" header="0.3" footer="0"/>
  <pageSetup scale="58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23F2-06C6-477D-BBDD-60A176ADE33A}">
  <dimension ref="A1:N24"/>
  <sheetViews>
    <sheetView view="pageBreakPreview" topLeftCell="A12" zoomScale="92" zoomScaleNormal="100" workbookViewId="0">
      <selection activeCell="H28" sqref="H28"/>
    </sheetView>
  </sheetViews>
  <sheetFormatPr defaultColWidth="18.109375" defaultRowHeight="14.4" x14ac:dyDescent="0.3"/>
  <cols>
    <col min="1" max="1" width="6.33203125" style="1" customWidth="1"/>
    <col min="2" max="2" width="17" style="1" customWidth="1"/>
    <col min="3" max="3" width="11.109375" style="1" customWidth="1"/>
    <col min="4" max="4" width="13.88671875" style="1" customWidth="1"/>
    <col min="5" max="5" width="33.109375" style="1" customWidth="1"/>
    <col min="6" max="6" width="12.77734375" style="1" customWidth="1"/>
    <col min="7" max="7" width="10.88671875" style="1" customWidth="1"/>
    <col min="8" max="8" width="16.88671875" style="1" customWidth="1"/>
    <col min="9" max="9" width="23.33203125" style="1" customWidth="1"/>
    <col min="10" max="10" width="19.109375" style="1" customWidth="1"/>
    <col min="11" max="12" width="18.109375" style="1"/>
    <col min="13" max="13" width="20.33203125" style="1" customWidth="1"/>
    <col min="14" max="16384" width="18.109375" style="1"/>
  </cols>
  <sheetData>
    <row r="1" spans="1:14" ht="30" customHeight="1" x14ac:dyDescent="0.3">
      <c r="A1" s="315" t="s">
        <v>223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</row>
    <row r="2" spans="1:14" ht="15.6" customHeight="1" x14ac:dyDescent="0.3">
      <c r="A2" s="315"/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</row>
    <row r="3" spans="1:14" ht="8.4" customHeight="1" x14ac:dyDescent="0.3">
      <c r="A3" s="259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4" ht="8.4" customHeight="1" x14ac:dyDescent="0.3">
      <c r="A4" s="259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4" ht="22.8" customHeight="1" x14ac:dyDescent="0.3">
      <c r="A5" s="259"/>
      <c r="B5" s="3"/>
      <c r="C5" s="3"/>
      <c r="D5" s="3"/>
      <c r="E5" s="3"/>
      <c r="F5" s="3"/>
      <c r="G5" s="3"/>
      <c r="H5" s="3"/>
      <c r="I5" s="314" t="s">
        <v>398</v>
      </c>
      <c r="J5" s="314"/>
      <c r="K5" s="314" t="s">
        <v>431</v>
      </c>
      <c r="L5" s="314"/>
      <c r="M5" s="314" t="s">
        <v>399</v>
      </c>
      <c r="N5" s="314"/>
    </row>
    <row r="6" spans="1:14" ht="25.95" customHeight="1" thickBot="1" x14ac:dyDescent="0.35">
      <c r="A6" s="204" t="s">
        <v>5</v>
      </c>
      <c r="B6" s="38" t="s">
        <v>11</v>
      </c>
      <c r="C6" s="38" t="s">
        <v>224</v>
      </c>
      <c r="D6" s="38" t="s">
        <v>13</v>
      </c>
      <c r="E6" s="38" t="s">
        <v>65</v>
      </c>
      <c r="F6" s="38" t="s">
        <v>45</v>
      </c>
      <c r="G6" s="38" t="s">
        <v>225</v>
      </c>
      <c r="H6" s="38" t="s">
        <v>18</v>
      </c>
      <c r="I6" s="265" t="s">
        <v>226</v>
      </c>
      <c r="J6" s="265" t="s">
        <v>121</v>
      </c>
      <c r="K6" s="265" t="s">
        <v>414</v>
      </c>
      <c r="L6" s="265" t="s">
        <v>415</v>
      </c>
      <c r="M6" s="265" t="s">
        <v>416</v>
      </c>
      <c r="N6" s="265" t="s">
        <v>417</v>
      </c>
    </row>
    <row r="7" spans="1:14" ht="21" customHeight="1" thickTop="1" thickBot="1" x14ac:dyDescent="0.35">
      <c r="A7" s="205">
        <f>ROW()-6</f>
        <v>1</v>
      </c>
      <c r="B7" s="127" t="s">
        <v>227</v>
      </c>
      <c r="C7" s="127">
        <v>1</v>
      </c>
      <c r="D7" s="127" t="s">
        <v>131</v>
      </c>
      <c r="E7" s="127" t="s">
        <v>230</v>
      </c>
      <c r="F7" s="127">
        <v>155</v>
      </c>
      <c r="G7" s="127">
        <v>0</v>
      </c>
      <c r="H7" s="127">
        <v>70.92</v>
      </c>
      <c r="I7" s="128">
        <v>36715290</v>
      </c>
      <c r="J7" s="206">
        <v>1835764.5</v>
      </c>
      <c r="K7" s="260">
        <v>33447629.190000001</v>
      </c>
      <c r="L7" s="260">
        <v>1672381.46</v>
      </c>
      <c r="M7" s="260">
        <v>31758725.850000001</v>
      </c>
      <c r="N7" s="260">
        <v>1587936.29</v>
      </c>
    </row>
    <row r="8" spans="1:14" ht="21" customHeight="1" thickTop="1" thickBot="1" x14ac:dyDescent="0.35">
      <c r="A8" s="205">
        <f t="shared" ref="A8:A20" si="0">ROW()-6</f>
        <v>2</v>
      </c>
      <c r="B8" s="127" t="s">
        <v>228</v>
      </c>
      <c r="C8" s="127">
        <v>2</v>
      </c>
      <c r="D8" s="127" t="s">
        <v>131</v>
      </c>
      <c r="E8" s="127" t="s">
        <v>230</v>
      </c>
      <c r="F8" s="127">
        <v>152</v>
      </c>
      <c r="G8" s="127">
        <v>0</v>
      </c>
      <c r="H8" s="127">
        <v>65.84</v>
      </c>
      <c r="I8" s="128">
        <v>36313480</v>
      </c>
      <c r="J8" s="206">
        <v>1815674</v>
      </c>
      <c r="K8" s="261">
        <v>33081580.280000001</v>
      </c>
      <c r="L8" s="261">
        <v>1654079.01</v>
      </c>
      <c r="M8" s="261">
        <v>31411160.199999999</v>
      </c>
      <c r="N8" s="261">
        <v>1570558.01</v>
      </c>
    </row>
    <row r="9" spans="1:14" ht="21" customHeight="1" thickTop="1" thickBot="1" x14ac:dyDescent="0.35">
      <c r="A9" s="205">
        <f t="shared" si="0"/>
        <v>3</v>
      </c>
      <c r="B9" s="127" t="s">
        <v>248</v>
      </c>
      <c r="C9" s="127">
        <v>2</v>
      </c>
      <c r="D9" s="127" t="s">
        <v>131</v>
      </c>
      <c r="E9" s="127" t="s">
        <v>249</v>
      </c>
      <c r="F9" s="127">
        <v>185</v>
      </c>
      <c r="G9" s="127">
        <v>0</v>
      </c>
      <c r="H9" s="127">
        <v>75.459999999999994</v>
      </c>
      <c r="I9" s="128">
        <v>43872060</v>
      </c>
      <c r="J9" s="206">
        <v>2193603</v>
      </c>
      <c r="K9" s="261">
        <v>39967446.659999996</v>
      </c>
      <c r="L9" s="261">
        <v>1998372.33</v>
      </c>
      <c r="M9" s="261">
        <v>37949331.899999999</v>
      </c>
      <c r="N9" s="261">
        <v>1897466.6</v>
      </c>
    </row>
    <row r="10" spans="1:14" ht="21" customHeight="1" thickTop="1" thickBot="1" x14ac:dyDescent="0.35">
      <c r="A10" s="205">
        <f t="shared" si="0"/>
        <v>4</v>
      </c>
      <c r="B10" s="127" t="s">
        <v>229</v>
      </c>
      <c r="C10" s="127">
        <v>2</v>
      </c>
      <c r="D10" s="127" t="s">
        <v>131</v>
      </c>
      <c r="E10" s="127" t="s">
        <v>230</v>
      </c>
      <c r="F10" s="127">
        <v>154</v>
      </c>
      <c r="G10" s="127">
        <v>0</v>
      </c>
      <c r="H10" s="127">
        <v>83.79</v>
      </c>
      <c r="I10" s="128">
        <v>37980100</v>
      </c>
      <c r="J10" s="206">
        <v>1899005</v>
      </c>
      <c r="K10" s="261">
        <v>34599871.100000001</v>
      </c>
      <c r="L10" s="261">
        <v>1729993.56</v>
      </c>
      <c r="M10" s="261">
        <v>32852786.5</v>
      </c>
      <c r="N10" s="261">
        <v>1642639.33</v>
      </c>
    </row>
    <row r="11" spans="1:14" ht="21" customHeight="1" thickTop="1" thickBot="1" x14ac:dyDescent="0.35">
      <c r="A11" s="205">
        <f t="shared" si="0"/>
        <v>5</v>
      </c>
      <c r="B11" s="127" t="s">
        <v>251</v>
      </c>
      <c r="C11" s="179">
        <v>1</v>
      </c>
      <c r="D11" s="179" t="s">
        <v>118</v>
      </c>
      <c r="E11" s="179" t="s">
        <v>250</v>
      </c>
      <c r="F11" s="179">
        <v>156</v>
      </c>
      <c r="G11" s="179">
        <v>39</v>
      </c>
      <c r="H11" s="179">
        <v>0</v>
      </c>
      <c r="I11" s="128">
        <v>34758070</v>
      </c>
      <c r="J11" s="206">
        <v>1737903.5</v>
      </c>
      <c r="K11" s="261">
        <v>31664601.77</v>
      </c>
      <c r="L11" s="261">
        <v>1583230.09</v>
      </c>
      <c r="M11" s="261">
        <v>30065730.550000001</v>
      </c>
      <c r="N11" s="261">
        <v>1503286.53</v>
      </c>
    </row>
    <row r="12" spans="1:14" ht="21" customHeight="1" thickTop="1" thickBot="1" x14ac:dyDescent="0.35">
      <c r="A12" s="205">
        <f t="shared" si="0"/>
        <v>6</v>
      </c>
      <c r="B12" s="127" t="s">
        <v>335</v>
      </c>
      <c r="C12" s="127">
        <v>1</v>
      </c>
      <c r="D12" s="127" t="s">
        <v>116</v>
      </c>
      <c r="E12" s="127" t="s">
        <v>252</v>
      </c>
      <c r="F12" s="127">
        <v>138</v>
      </c>
      <c r="G12" s="127">
        <v>0</v>
      </c>
      <c r="H12" s="127">
        <v>0</v>
      </c>
      <c r="I12" s="128">
        <v>29537270</v>
      </c>
      <c r="J12" s="206">
        <v>1476863.5</v>
      </c>
      <c r="K12" s="261">
        <v>26908452.969999999</v>
      </c>
      <c r="L12" s="261">
        <v>1345422.65</v>
      </c>
      <c r="M12" s="261">
        <v>25549738.550000001</v>
      </c>
      <c r="N12" s="261">
        <v>1277486.93</v>
      </c>
    </row>
    <row r="13" spans="1:14" ht="21" customHeight="1" thickTop="1" thickBot="1" x14ac:dyDescent="0.35">
      <c r="A13" s="205">
        <f t="shared" si="0"/>
        <v>7</v>
      </c>
      <c r="B13" s="127" t="s">
        <v>253</v>
      </c>
      <c r="C13" s="179">
        <v>2</v>
      </c>
      <c r="D13" s="179" t="s">
        <v>118</v>
      </c>
      <c r="E13" s="179" t="s">
        <v>250</v>
      </c>
      <c r="F13" s="179">
        <v>156</v>
      </c>
      <c r="G13" s="179">
        <v>27</v>
      </c>
      <c r="H13" s="179">
        <v>0</v>
      </c>
      <c r="I13" s="128">
        <v>34476460</v>
      </c>
      <c r="J13" s="206">
        <v>1723823</v>
      </c>
      <c r="K13" s="261">
        <v>31408055.059999999</v>
      </c>
      <c r="L13" s="261">
        <v>1570402.75</v>
      </c>
      <c r="M13" s="261">
        <v>29822137.899999999</v>
      </c>
      <c r="N13" s="261">
        <v>1491106.9</v>
      </c>
    </row>
    <row r="14" spans="1:14" ht="21" customHeight="1" thickTop="1" thickBot="1" x14ac:dyDescent="0.35">
      <c r="A14" s="205">
        <f t="shared" si="0"/>
        <v>8</v>
      </c>
      <c r="B14" s="127" t="s">
        <v>254</v>
      </c>
      <c r="C14" s="127">
        <v>1</v>
      </c>
      <c r="D14" s="127" t="s">
        <v>116</v>
      </c>
      <c r="E14" s="127" t="s">
        <v>252</v>
      </c>
      <c r="F14" s="127">
        <v>129</v>
      </c>
      <c r="G14" s="127">
        <v>0</v>
      </c>
      <c r="H14" s="127">
        <v>0</v>
      </c>
      <c r="I14" s="128">
        <v>27610930</v>
      </c>
      <c r="J14" s="206">
        <v>1380546.5</v>
      </c>
      <c r="K14" s="261">
        <v>25153557.23</v>
      </c>
      <c r="L14" s="261">
        <v>1257677.8600000001</v>
      </c>
      <c r="M14" s="261">
        <v>23883454.449999999</v>
      </c>
      <c r="N14" s="261">
        <v>1194172.72</v>
      </c>
    </row>
    <row r="15" spans="1:14" ht="21" customHeight="1" thickTop="1" thickBot="1" x14ac:dyDescent="0.35">
      <c r="A15" s="205">
        <f t="shared" si="0"/>
        <v>9</v>
      </c>
      <c r="B15" s="127" t="s">
        <v>338</v>
      </c>
      <c r="C15" s="127">
        <v>5</v>
      </c>
      <c r="D15" s="127" t="s">
        <v>118</v>
      </c>
      <c r="E15" s="127" t="s">
        <v>252</v>
      </c>
      <c r="F15" s="127">
        <v>132</v>
      </c>
      <c r="G15" s="127">
        <v>52</v>
      </c>
      <c r="H15" s="127">
        <v>0</v>
      </c>
      <c r="I15" s="128">
        <v>33615042</v>
      </c>
      <c r="J15" s="206">
        <v>1680752.1</v>
      </c>
      <c r="K15" s="261">
        <v>30623303.260000002</v>
      </c>
      <c r="L15" s="261">
        <v>1531165.16</v>
      </c>
      <c r="M15" s="261">
        <v>29077011.329999998</v>
      </c>
      <c r="N15" s="261">
        <v>1453850.57</v>
      </c>
    </row>
    <row r="16" spans="1:14" ht="21" customHeight="1" thickTop="1" thickBot="1" x14ac:dyDescent="0.35">
      <c r="A16" s="205">
        <f t="shared" si="0"/>
        <v>10</v>
      </c>
      <c r="B16" s="127" t="s">
        <v>339</v>
      </c>
      <c r="C16" s="179">
        <v>5</v>
      </c>
      <c r="D16" s="179" t="s">
        <v>118</v>
      </c>
      <c r="E16" s="179" t="s">
        <v>252</v>
      </c>
      <c r="F16" s="179">
        <v>132</v>
      </c>
      <c r="G16" s="179">
        <v>54</v>
      </c>
      <c r="H16" s="179">
        <v>0</v>
      </c>
      <c r="I16" s="128">
        <v>33657073.439999998</v>
      </c>
      <c r="J16" s="206">
        <v>1682853.67</v>
      </c>
      <c r="K16" s="261">
        <v>30661593.899999999</v>
      </c>
      <c r="L16" s="261">
        <v>1533079.7</v>
      </c>
      <c r="M16" s="261">
        <v>29113368.530000001</v>
      </c>
      <c r="N16" s="261">
        <v>1455668.43</v>
      </c>
    </row>
    <row r="17" spans="1:14" ht="21" customHeight="1" thickTop="1" thickBot="1" x14ac:dyDescent="0.35">
      <c r="A17" s="205">
        <f t="shared" si="0"/>
        <v>11</v>
      </c>
      <c r="B17" s="127" t="s">
        <v>340</v>
      </c>
      <c r="C17" s="127">
        <v>5</v>
      </c>
      <c r="D17" s="127" t="s">
        <v>118</v>
      </c>
      <c r="E17" s="127" t="s">
        <v>337</v>
      </c>
      <c r="F17" s="127">
        <v>110</v>
      </c>
      <c r="G17" s="127">
        <v>87</v>
      </c>
      <c r="H17" s="127">
        <v>0</v>
      </c>
      <c r="I17" s="128">
        <v>27879824.059999999</v>
      </c>
      <c r="J17" s="206">
        <v>1393991.2</v>
      </c>
      <c r="K17" s="261">
        <v>25398519.719999999</v>
      </c>
      <c r="L17" s="261">
        <v>1269925.99</v>
      </c>
      <c r="M17" s="261">
        <v>24116047.809999999</v>
      </c>
      <c r="N17" s="261">
        <v>1205802.3899999999</v>
      </c>
    </row>
    <row r="18" spans="1:14" ht="21" customHeight="1" thickTop="1" thickBot="1" x14ac:dyDescent="0.35">
      <c r="A18" s="205">
        <f t="shared" si="0"/>
        <v>12</v>
      </c>
      <c r="B18" s="127" t="s">
        <v>341</v>
      </c>
      <c r="C18" s="179">
        <v>5</v>
      </c>
      <c r="D18" s="179" t="s">
        <v>116</v>
      </c>
      <c r="E18" s="179" t="s">
        <v>337</v>
      </c>
      <c r="F18" s="179">
        <v>115</v>
      </c>
      <c r="G18" s="179">
        <v>0</v>
      </c>
      <c r="H18" s="179">
        <v>0</v>
      </c>
      <c r="I18" s="128">
        <v>25758856.940000001</v>
      </c>
      <c r="J18" s="206">
        <v>1287942.8500000001</v>
      </c>
      <c r="K18" s="261">
        <v>23466318.670000002</v>
      </c>
      <c r="L18" s="261">
        <v>1173315.93</v>
      </c>
      <c r="M18" s="261">
        <v>22281411.25</v>
      </c>
      <c r="N18" s="261">
        <v>1114070.56</v>
      </c>
    </row>
    <row r="19" spans="1:14" ht="21" customHeight="1" thickTop="1" thickBot="1" x14ac:dyDescent="0.35">
      <c r="A19" s="205">
        <f t="shared" si="0"/>
        <v>13</v>
      </c>
      <c r="B19" s="127" t="s">
        <v>342</v>
      </c>
      <c r="C19" s="127">
        <v>5</v>
      </c>
      <c r="D19" s="127" t="s">
        <v>116</v>
      </c>
      <c r="E19" s="127" t="s">
        <v>337</v>
      </c>
      <c r="F19" s="127">
        <v>102</v>
      </c>
      <c r="G19" s="127">
        <v>0</v>
      </c>
      <c r="H19" s="127">
        <v>0</v>
      </c>
      <c r="I19" s="128">
        <v>22797434.670000002</v>
      </c>
      <c r="J19" s="206">
        <v>1139871.73</v>
      </c>
      <c r="K19" s="261">
        <v>20768462.98</v>
      </c>
      <c r="L19" s="261">
        <v>1038423.15</v>
      </c>
      <c r="M19" s="261">
        <v>19719780.989999998</v>
      </c>
      <c r="N19" s="261">
        <v>985989.05</v>
      </c>
    </row>
    <row r="20" spans="1:14" ht="21" customHeight="1" thickTop="1" thickBot="1" x14ac:dyDescent="0.35">
      <c r="A20" s="205">
        <f t="shared" si="0"/>
        <v>14</v>
      </c>
      <c r="B20" s="127" t="s">
        <v>343</v>
      </c>
      <c r="C20" s="127">
        <v>5</v>
      </c>
      <c r="D20" s="127" t="s">
        <v>116</v>
      </c>
      <c r="E20" s="127" t="s">
        <v>337</v>
      </c>
      <c r="F20" s="127">
        <v>115</v>
      </c>
      <c r="G20" s="127">
        <v>0</v>
      </c>
      <c r="H20" s="127">
        <v>0</v>
      </c>
      <c r="I20" s="128">
        <v>25702990.07</v>
      </c>
      <c r="J20" s="206">
        <v>1285149.5</v>
      </c>
      <c r="K20" s="261">
        <v>23415423.949999999</v>
      </c>
      <c r="L20" s="261">
        <v>1170771.2</v>
      </c>
      <c r="M20" s="261">
        <v>22233086.41</v>
      </c>
      <c r="N20" s="261">
        <v>1111654.32</v>
      </c>
    </row>
    <row r="21" spans="1:14" ht="21" customHeight="1" thickTop="1" thickBot="1" x14ac:dyDescent="0.35">
      <c r="A21" s="205">
        <f>ROW()-6</f>
        <v>15</v>
      </c>
      <c r="B21" s="127" t="s">
        <v>461</v>
      </c>
      <c r="C21" s="179">
        <v>5</v>
      </c>
      <c r="D21" s="179" t="s">
        <v>116</v>
      </c>
      <c r="E21" s="179" t="s">
        <v>337</v>
      </c>
      <c r="F21" s="179">
        <v>102</v>
      </c>
      <c r="G21" s="179">
        <v>0</v>
      </c>
      <c r="H21" s="179">
        <v>0</v>
      </c>
      <c r="I21" s="128">
        <v>22797434.670000002</v>
      </c>
      <c r="J21" s="206">
        <v>1139871.73</v>
      </c>
      <c r="K21" s="261">
        <v>20768462.98</v>
      </c>
      <c r="L21" s="261">
        <v>1038423.15</v>
      </c>
      <c r="M21" s="261">
        <v>19719780.989999998</v>
      </c>
      <c r="N21" s="261">
        <v>985989.05</v>
      </c>
    </row>
    <row r="22" spans="1:14" ht="23.4" customHeight="1" thickTop="1" thickBot="1" x14ac:dyDescent="0.35">
      <c r="A22" s="207"/>
      <c r="B22" s="196"/>
      <c r="C22" s="208"/>
      <c r="D22" s="208"/>
      <c r="E22" s="209"/>
      <c r="F22" s="208"/>
      <c r="G22" s="208"/>
      <c r="H22" s="208"/>
      <c r="I22" s="210"/>
      <c r="J22" s="211"/>
      <c r="K22" s="209"/>
      <c r="L22" s="208"/>
      <c r="M22" s="264"/>
      <c r="N22" s="264"/>
    </row>
    <row r="23" spans="1:14" x14ac:dyDescent="0.3">
      <c r="A23" s="3"/>
      <c r="B23" s="3"/>
      <c r="C23" s="3"/>
    </row>
    <row r="24" spans="1:14" x14ac:dyDescent="0.3">
      <c r="B24" s="123"/>
    </row>
  </sheetData>
  <mergeCells count="4">
    <mergeCell ref="I5:J5"/>
    <mergeCell ref="K5:L5"/>
    <mergeCell ref="A1:N2"/>
    <mergeCell ref="M5:N5"/>
  </mergeCells>
  <phoneticPr fontId="21" type="noConversion"/>
  <conditionalFormatting sqref="A6 F6:H6">
    <cfRule type="duplicateValues" dxfId="335" priority="11"/>
    <cfRule type="duplicateValues" dxfId="334" priority="12"/>
    <cfRule type="duplicateValues" dxfId="333" priority="13"/>
  </conditionalFormatting>
  <conditionalFormatting sqref="B1:B1048576">
    <cfRule type="duplicateValues" dxfId="332" priority="1"/>
  </conditionalFormatting>
  <conditionalFormatting sqref="B22">
    <cfRule type="duplicateValues" dxfId="331" priority="6"/>
    <cfRule type="duplicateValues" dxfId="330" priority="7"/>
    <cfRule type="duplicateValues" dxfId="329" priority="8"/>
    <cfRule type="duplicateValues" dxfId="328" priority="9"/>
    <cfRule type="duplicateValues" dxfId="327" priority="10"/>
  </conditionalFormatting>
  <conditionalFormatting sqref="B22:B24 B6 B30:B1048576">
    <cfRule type="duplicateValues" dxfId="326" priority="5"/>
  </conditionalFormatting>
  <conditionalFormatting sqref="B23">
    <cfRule type="duplicateValues" dxfId="325" priority="17"/>
    <cfRule type="duplicateValues" dxfId="324" priority="18"/>
  </conditionalFormatting>
  <conditionalFormatting sqref="B23:B24 B30:B1048576">
    <cfRule type="duplicateValues" dxfId="323" priority="15"/>
    <cfRule type="duplicateValues" dxfId="322" priority="16"/>
    <cfRule type="duplicateValues" dxfId="321" priority="19"/>
    <cfRule type="duplicateValues" dxfId="320" priority="21"/>
    <cfRule type="duplicateValues" dxfId="319" priority="22"/>
    <cfRule type="duplicateValues" dxfId="318" priority="23"/>
  </conditionalFormatting>
  <conditionalFormatting sqref="B24 B30:B1048576">
    <cfRule type="duplicateValues" dxfId="317" priority="14"/>
    <cfRule type="duplicateValues" dxfId="316" priority="20"/>
    <cfRule type="duplicateValues" dxfId="315" priority="24"/>
  </conditionalFormatting>
  <conditionalFormatting sqref="B27:B1048576 B6:B25">
    <cfRule type="duplicateValues" dxfId="314" priority="2"/>
  </conditionalFormatting>
  <conditionalFormatting sqref="B30:B1048576 B6:B24">
    <cfRule type="duplicateValues" dxfId="313" priority="3"/>
    <cfRule type="duplicateValues" dxfId="312" priority="4"/>
  </conditionalFormatting>
  <printOptions horizontalCentered="1"/>
  <pageMargins left="0" right="0" top="0.5" bottom="0" header="0.3" footer="0"/>
  <pageSetup scale="43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CB0E-E11A-4821-ADFF-3C4825795DF6}">
  <dimension ref="A1:J84"/>
  <sheetViews>
    <sheetView view="pageBreakPreview" topLeftCell="A40" zoomScale="88" zoomScaleNormal="81" zoomScaleSheetLayoutView="88" workbookViewId="0">
      <selection activeCell="H52" sqref="H52"/>
    </sheetView>
  </sheetViews>
  <sheetFormatPr defaultColWidth="9.44140625" defaultRowHeight="20.399999999999999" customHeight="1" x14ac:dyDescent="0.3"/>
  <cols>
    <col min="1" max="1" width="6.5546875" style="1" bestFit="1" customWidth="1"/>
    <col min="2" max="2" width="21.33203125" style="1" customWidth="1"/>
    <col min="3" max="3" width="15.5546875" style="1" customWidth="1"/>
    <col min="4" max="4" width="27.44140625" style="1" customWidth="1"/>
    <col min="5" max="5" width="10.109375" style="1" bestFit="1" customWidth="1"/>
    <col min="6" max="6" width="12.5546875" style="1" customWidth="1"/>
    <col min="7" max="7" width="18.44140625" style="1" customWidth="1"/>
    <col min="8" max="8" width="16.33203125" style="1" customWidth="1"/>
    <col min="9" max="9" width="25.77734375" style="1" customWidth="1"/>
    <col min="10" max="10" width="16" style="1" customWidth="1"/>
    <col min="11" max="11" width="9.44140625" style="1" customWidth="1"/>
    <col min="12" max="16384" width="9.44140625" style="1"/>
  </cols>
  <sheetData>
    <row r="1" spans="1:10" ht="43.8" customHeight="1" x14ac:dyDescent="0.3">
      <c r="A1" s="317" t="s">
        <v>25</v>
      </c>
      <c r="B1" s="312"/>
      <c r="C1" s="312"/>
      <c r="D1" s="312"/>
      <c r="E1" s="312"/>
      <c r="F1" s="312"/>
      <c r="G1" s="312"/>
      <c r="H1" s="312"/>
      <c r="I1" s="312"/>
      <c r="J1" s="312"/>
    </row>
    <row r="2" spans="1:10" ht="10.95" customHeight="1" x14ac:dyDescent="0.3"/>
    <row r="3" spans="1:10" ht="7.2" customHeight="1" x14ac:dyDescent="0.3"/>
    <row r="4" spans="1:10" ht="31.8" customHeight="1" thickBot="1" x14ac:dyDescent="0.35">
      <c r="A4" s="37" t="s">
        <v>5</v>
      </c>
      <c r="B4" s="103" t="s">
        <v>6</v>
      </c>
      <c r="C4" s="103" t="s">
        <v>8</v>
      </c>
      <c r="D4" s="103" t="s">
        <v>7</v>
      </c>
      <c r="E4" s="103" t="s">
        <v>17</v>
      </c>
      <c r="F4" s="103" t="s">
        <v>9</v>
      </c>
      <c r="G4" s="103" t="s">
        <v>18</v>
      </c>
      <c r="H4" s="103" t="s">
        <v>19</v>
      </c>
      <c r="I4" s="105" t="s">
        <v>10</v>
      </c>
      <c r="J4" s="116" t="s">
        <v>76</v>
      </c>
    </row>
    <row r="5" spans="1:10" ht="19.8" customHeight="1" thickTop="1" thickBot="1" x14ac:dyDescent="0.35">
      <c r="A5" s="134">
        <f t="shared" ref="A5:A8" si="0">ROW()-4</f>
        <v>1</v>
      </c>
      <c r="B5" s="17" t="s">
        <v>455</v>
      </c>
      <c r="C5" s="17" t="s">
        <v>114</v>
      </c>
      <c r="D5" s="17" t="s">
        <v>115</v>
      </c>
      <c r="E5" s="17" t="s">
        <v>118</v>
      </c>
      <c r="F5" s="17">
        <v>121</v>
      </c>
      <c r="G5" s="17">
        <v>0</v>
      </c>
      <c r="H5" s="17">
        <v>95.61</v>
      </c>
      <c r="I5" s="135">
        <v>24617727.079999998</v>
      </c>
      <c r="J5" s="136">
        <v>1230886.3500000001</v>
      </c>
    </row>
    <row r="6" spans="1:10" ht="19.8" customHeight="1" thickTop="1" thickBot="1" x14ac:dyDescent="0.35">
      <c r="A6" s="134">
        <f t="shared" si="0"/>
        <v>2</v>
      </c>
      <c r="B6" s="17" t="s">
        <v>273</v>
      </c>
      <c r="C6" s="17" t="s">
        <v>114</v>
      </c>
      <c r="D6" s="17" t="s">
        <v>117</v>
      </c>
      <c r="E6" s="17" t="s">
        <v>118</v>
      </c>
      <c r="F6" s="17">
        <v>155.32</v>
      </c>
      <c r="G6" s="17">
        <v>0</v>
      </c>
      <c r="H6" s="17">
        <v>126.04</v>
      </c>
      <c r="I6" s="135">
        <v>31866788.09</v>
      </c>
      <c r="J6" s="136">
        <v>1593339.4</v>
      </c>
    </row>
    <row r="7" spans="1:10" ht="19.8" customHeight="1" thickTop="1" thickBot="1" x14ac:dyDescent="0.35">
      <c r="A7" s="134">
        <f t="shared" si="0"/>
        <v>3</v>
      </c>
      <c r="B7" s="17" t="s">
        <v>274</v>
      </c>
      <c r="C7" s="17" t="s">
        <v>114</v>
      </c>
      <c r="D7" s="17" t="s">
        <v>115</v>
      </c>
      <c r="E7" s="17" t="s">
        <v>116</v>
      </c>
      <c r="F7" s="17">
        <v>127</v>
      </c>
      <c r="G7" s="17">
        <v>0</v>
      </c>
      <c r="H7" s="17">
        <v>0</v>
      </c>
      <c r="I7" s="135">
        <v>19725582.920000002</v>
      </c>
      <c r="J7" s="136">
        <v>986279.15</v>
      </c>
    </row>
    <row r="8" spans="1:10" ht="19.8" customHeight="1" thickTop="1" thickBot="1" x14ac:dyDescent="0.35">
      <c r="A8" s="134">
        <f t="shared" si="0"/>
        <v>4</v>
      </c>
      <c r="B8" s="17" t="s">
        <v>275</v>
      </c>
      <c r="C8" s="17" t="s">
        <v>114</v>
      </c>
      <c r="D8" s="17" t="s">
        <v>115</v>
      </c>
      <c r="E8" s="17" t="s">
        <v>116</v>
      </c>
      <c r="F8" s="17">
        <v>129.93</v>
      </c>
      <c r="G8" s="17">
        <v>0</v>
      </c>
      <c r="H8" s="17">
        <v>0</v>
      </c>
      <c r="I8" s="135">
        <v>19113444.82</v>
      </c>
      <c r="J8" s="136">
        <v>955672.24</v>
      </c>
    </row>
    <row r="9" spans="1:10" ht="19.8" customHeight="1" thickTop="1" thickBot="1" x14ac:dyDescent="0.35">
      <c r="A9" s="134">
        <f t="shared" ref="A9:A21" si="1">ROW()-4</f>
        <v>5</v>
      </c>
      <c r="B9" s="17" t="s">
        <v>276</v>
      </c>
      <c r="C9" s="17" t="s">
        <v>114</v>
      </c>
      <c r="D9" s="17" t="s">
        <v>115</v>
      </c>
      <c r="E9" s="17" t="s">
        <v>131</v>
      </c>
      <c r="F9" s="17">
        <v>127</v>
      </c>
      <c r="G9" s="17">
        <v>0</v>
      </c>
      <c r="H9" s="17">
        <v>0</v>
      </c>
      <c r="I9" s="135">
        <v>19798317.109999999</v>
      </c>
      <c r="J9" s="136">
        <v>989915.86</v>
      </c>
    </row>
    <row r="10" spans="1:10" ht="19.8" customHeight="1" thickTop="1" thickBot="1" x14ac:dyDescent="0.35">
      <c r="A10" s="134">
        <f t="shared" si="1"/>
        <v>6</v>
      </c>
      <c r="B10" s="17" t="s">
        <v>277</v>
      </c>
      <c r="C10" s="17" t="s">
        <v>114</v>
      </c>
      <c r="D10" s="17" t="s">
        <v>115</v>
      </c>
      <c r="E10" s="17" t="s">
        <v>131</v>
      </c>
      <c r="F10" s="17">
        <v>129.93</v>
      </c>
      <c r="G10" s="17">
        <v>0</v>
      </c>
      <c r="H10" s="17">
        <v>0</v>
      </c>
      <c r="I10" s="135">
        <v>19140681.210000001</v>
      </c>
      <c r="J10" s="136">
        <v>957034.06</v>
      </c>
    </row>
    <row r="11" spans="1:10" ht="19.8" customHeight="1" thickTop="1" thickBot="1" x14ac:dyDescent="0.35">
      <c r="A11" s="134">
        <f t="shared" si="1"/>
        <v>7</v>
      </c>
      <c r="B11" s="17" t="s">
        <v>278</v>
      </c>
      <c r="C11" s="17" t="s">
        <v>114</v>
      </c>
      <c r="D11" s="17" t="s">
        <v>115</v>
      </c>
      <c r="E11" s="17" t="s">
        <v>133</v>
      </c>
      <c r="F11" s="17">
        <v>127</v>
      </c>
      <c r="G11" s="17">
        <v>0</v>
      </c>
      <c r="H11" s="17">
        <v>0</v>
      </c>
      <c r="I11" s="135">
        <v>19909332.460000001</v>
      </c>
      <c r="J11" s="136">
        <v>995466.62</v>
      </c>
    </row>
    <row r="12" spans="1:10" ht="19.8" customHeight="1" thickTop="1" thickBot="1" x14ac:dyDescent="0.35">
      <c r="A12" s="134">
        <f t="shared" si="1"/>
        <v>8</v>
      </c>
      <c r="B12" s="17" t="s">
        <v>279</v>
      </c>
      <c r="C12" s="17" t="s">
        <v>114</v>
      </c>
      <c r="D12" s="17" t="s">
        <v>115</v>
      </c>
      <c r="E12" s="17" t="s">
        <v>133</v>
      </c>
      <c r="F12" s="17">
        <v>129.93</v>
      </c>
      <c r="G12" s="17">
        <v>0</v>
      </c>
      <c r="H12" s="17">
        <v>0</v>
      </c>
      <c r="I12" s="135">
        <v>19158838.800000001</v>
      </c>
      <c r="J12" s="136">
        <v>957941.94</v>
      </c>
    </row>
    <row r="13" spans="1:10" ht="19.8" customHeight="1" thickTop="1" thickBot="1" x14ac:dyDescent="0.35">
      <c r="A13" s="134">
        <f t="shared" si="1"/>
        <v>9</v>
      </c>
      <c r="B13" s="17" t="s">
        <v>280</v>
      </c>
      <c r="C13" s="17" t="s">
        <v>114</v>
      </c>
      <c r="D13" s="17" t="s">
        <v>115</v>
      </c>
      <c r="E13" s="17" t="s">
        <v>134</v>
      </c>
      <c r="F13" s="17">
        <v>127</v>
      </c>
      <c r="G13" s="17">
        <v>0</v>
      </c>
      <c r="H13" s="17">
        <v>0</v>
      </c>
      <c r="I13" s="135">
        <v>19974932.440000001</v>
      </c>
      <c r="J13" s="136">
        <v>998746.62</v>
      </c>
    </row>
    <row r="14" spans="1:10" ht="19.8" customHeight="1" thickTop="1" thickBot="1" x14ac:dyDescent="0.35">
      <c r="A14" s="134">
        <f t="shared" si="1"/>
        <v>10</v>
      </c>
      <c r="B14" s="17" t="s">
        <v>281</v>
      </c>
      <c r="C14" s="17" t="s">
        <v>114</v>
      </c>
      <c r="D14" s="17" t="s">
        <v>115</v>
      </c>
      <c r="E14" s="17" t="s">
        <v>134</v>
      </c>
      <c r="F14" s="17">
        <v>129.93</v>
      </c>
      <c r="G14" s="17">
        <v>0</v>
      </c>
      <c r="H14" s="17">
        <v>0</v>
      </c>
      <c r="I14" s="135">
        <v>19857906.02</v>
      </c>
      <c r="J14" s="136">
        <v>992895.3</v>
      </c>
    </row>
    <row r="15" spans="1:10" ht="19.8" customHeight="1" thickTop="1" thickBot="1" x14ac:dyDescent="0.35">
      <c r="A15" s="134">
        <f t="shared" si="1"/>
        <v>11</v>
      </c>
      <c r="B15" s="17" t="s">
        <v>125</v>
      </c>
      <c r="C15" s="17" t="s">
        <v>114</v>
      </c>
      <c r="D15" s="17" t="s">
        <v>115</v>
      </c>
      <c r="E15" s="17" t="s">
        <v>118</v>
      </c>
      <c r="F15" s="17">
        <v>110</v>
      </c>
      <c r="G15" s="17">
        <v>0</v>
      </c>
      <c r="H15" s="17">
        <v>138.36000000000001</v>
      </c>
      <c r="I15" s="135">
        <v>25932712.890000001</v>
      </c>
      <c r="J15" s="136">
        <v>1296635.6399999999</v>
      </c>
    </row>
    <row r="16" spans="1:10" ht="19.8" customHeight="1" thickTop="1" thickBot="1" x14ac:dyDescent="0.35">
      <c r="A16" s="134">
        <f t="shared" si="1"/>
        <v>12</v>
      </c>
      <c r="B16" s="17" t="s">
        <v>456</v>
      </c>
      <c r="C16" s="17" t="s">
        <v>114</v>
      </c>
      <c r="D16" s="17" t="s">
        <v>115</v>
      </c>
      <c r="E16" s="17" t="s">
        <v>118</v>
      </c>
      <c r="F16" s="17">
        <v>121</v>
      </c>
      <c r="G16" s="17">
        <v>0</v>
      </c>
      <c r="H16" s="17">
        <v>130.68</v>
      </c>
      <c r="I16" s="135">
        <v>27393318.800000001</v>
      </c>
      <c r="J16" s="136">
        <v>1369665.94</v>
      </c>
    </row>
    <row r="17" spans="1:10" ht="19.8" customHeight="1" thickTop="1" thickBot="1" x14ac:dyDescent="0.35">
      <c r="A17" s="134">
        <f t="shared" si="1"/>
        <v>13</v>
      </c>
      <c r="B17" s="17" t="s">
        <v>457</v>
      </c>
      <c r="C17" s="17" t="s">
        <v>114</v>
      </c>
      <c r="D17" s="17" t="s">
        <v>117</v>
      </c>
      <c r="E17" s="17" t="s">
        <v>118</v>
      </c>
      <c r="F17" s="17">
        <v>176.91200000000001</v>
      </c>
      <c r="G17" s="17">
        <v>0</v>
      </c>
      <c r="H17" s="17">
        <v>128.21</v>
      </c>
      <c r="I17" s="135">
        <v>35231666.32</v>
      </c>
      <c r="J17" s="136">
        <v>1761583.32</v>
      </c>
    </row>
    <row r="18" spans="1:10" ht="19.8" customHeight="1" thickTop="1" thickBot="1" x14ac:dyDescent="0.35">
      <c r="A18" s="134">
        <f t="shared" si="1"/>
        <v>14</v>
      </c>
      <c r="B18" s="17" t="s">
        <v>272</v>
      </c>
      <c r="C18" s="17" t="s">
        <v>114</v>
      </c>
      <c r="D18" s="17" t="s">
        <v>117</v>
      </c>
      <c r="E18" s="17" t="s">
        <v>118</v>
      </c>
      <c r="F18" s="17">
        <v>155.32</v>
      </c>
      <c r="G18" s="17">
        <v>0</v>
      </c>
      <c r="H18" s="17">
        <v>125.65</v>
      </c>
      <c r="I18" s="135">
        <v>31291178.469999999</v>
      </c>
      <c r="J18" s="136">
        <v>1564558.92</v>
      </c>
    </row>
    <row r="19" spans="1:10" ht="19.8" customHeight="1" thickTop="1" thickBot="1" x14ac:dyDescent="0.35">
      <c r="A19" s="134">
        <f t="shared" si="1"/>
        <v>15</v>
      </c>
      <c r="B19" s="17" t="s">
        <v>387</v>
      </c>
      <c r="C19" s="17" t="s">
        <v>114</v>
      </c>
      <c r="D19" s="17" t="s">
        <v>115</v>
      </c>
      <c r="E19" s="17" t="s">
        <v>131</v>
      </c>
      <c r="F19" s="17">
        <v>127</v>
      </c>
      <c r="G19" s="17">
        <v>0</v>
      </c>
      <c r="H19" s="17">
        <v>0</v>
      </c>
      <c r="I19" s="135">
        <v>20306847.449999999</v>
      </c>
      <c r="J19" s="136">
        <v>1015342.37</v>
      </c>
    </row>
    <row r="20" spans="1:10" ht="19.8" customHeight="1" thickTop="1" thickBot="1" x14ac:dyDescent="0.35">
      <c r="A20" s="134">
        <f t="shared" si="1"/>
        <v>16</v>
      </c>
      <c r="B20" s="17" t="s">
        <v>126</v>
      </c>
      <c r="C20" s="17" t="s">
        <v>114</v>
      </c>
      <c r="D20" s="17" t="s">
        <v>115</v>
      </c>
      <c r="E20" s="17" t="s">
        <v>132</v>
      </c>
      <c r="F20" s="17">
        <v>127</v>
      </c>
      <c r="G20" s="17">
        <v>0</v>
      </c>
      <c r="H20" s="17">
        <v>0</v>
      </c>
      <c r="I20" s="135">
        <v>20315721.719999999</v>
      </c>
      <c r="J20" s="136">
        <v>1015786.09</v>
      </c>
    </row>
    <row r="21" spans="1:10" ht="19.8" customHeight="1" thickTop="1" thickBot="1" x14ac:dyDescent="0.35">
      <c r="A21" s="134">
        <f t="shared" si="1"/>
        <v>17</v>
      </c>
      <c r="B21" s="17" t="s">
        <v>127</v>
      </c>
      <c r="C21" s="17" t="s">
        <v>114</v>
      </c>
      <c r="D21" s="17" t="s">
        <v>115</v>
      </c>
      <c r="E21" s="17" t="s">
        <v>133</v>
      </c>
      <c r="F21" s="17">
        <v>127</v>
      </c>
      <c r="G21" s="17">
        <v>0</v>
      </c>
      <c r="H21" s="17">
        <v>0</v>
      </c>
      <c r="I21" s="135">
        <v>20324595.98</v>
      </c>
      <c r="J21" s="136">
        <v>1016229.8</v>
      </c>
    </row>
    <row r="22" spans="1:10" ht="19.8" customHeight="1" thickTop="1" thickBot="1" x14ac:dyDescent="0.35">
      <c r="A22" s="134">
        <f>ROW()-4</f>
        <v>18</v>
      </c>
      <c r="B22" s="17" t="s">
        <v>128</v>
      </c>
      <c r="C22" s="17" t="s">
        <v>114</v>
      </c>
      <c r="D22" s="17" t="s">
        <v>115</v>
      </c>
      <c r="E22" s="17" t="s">
        <v>133</v>
      </c>
      <c r="F22" s="17">
        <v>129.93</v>
      </c>
      <c r="G22" s="17">
        <v>0</v>
      </c>
      <c r="H22" s="17">
        <v>0</v>
      </c>
      <c r="I22" s="135">
        <v>19839748.43</v>
      </c>
      <c r="J22" s="136">
        <v>991987.42</v>
      </c>
    </row>
    <row r="23" spans="1:10" ht="19.8" customHeight="1" thickTop="1" thickBot="1" x14ac:dyDescent="0.35">
      <c r="A23" s="134">
        <f t="shared" ref="A23:A30" si="2">ROW()-4</f>
        <v>19</v>
      </c>
      <c r="B23" s="17" t="s">
        <v>129</v>
      </c>
      <c r="C23" s="17" t="s">
        <v>114</v>
      </c>
      <c r="D23" s="17" t="s">
        <v>115</v>
      </c>
      <c r="E23" s="17" t="s">
        <v>134</v>
      </c>
      <c r="F23" s="17">
        <v>127</v>
      </c>
      <c r="G23" s="17">
        <v>0</v>
      </c>
      <c r="H23" s="17">
        <v>0</v>
      </c>
      <c r="I23" s="135">
        <v>20342344.52</v>
      </c>
      <c r="J23" s="136">
        <v>1017117.23</v>
      </c>
    </row>
    <row r="24" spans="1:10" ht="19.8" customHeight="1" thickTop="1" thickBot="1" x14ac:dyDescent="0.35">
      <c r="A24" s="22">
        <f>ROW()-4</f>
        <v>20</v>
      </c>
      <c r="B24" s="270" t="s">
        <v>130</v>
      </c>
      <c r="C24" s="270" t="s">
        <v>114</v>
      </c>
      <c r="D24" s="270" t="s">
        <v>115</v>
      </c>
      <c r="E24" s="270" t="s">
        <v>134</v>
      </c>
      <c r="F24" s="270">
        <v>129.93</v>
      </c>
      <c r="G24" s="270">
        <v>0</v>
      </c>
      <c r="H24" s="270">
        <v>0</v>
      </c>
      <c r="I24" s="271">
        <v>19857906.02</v>
      </c>
      <c r="J24" s="272">
        <v>992895.3</v>
      </c>
    </row>
    <row r="25" spans="1:10" ht="19.8" customHeight="1" thickTop="1" thickBot="1" x14ac:dyDescent="0.35">
      <c r="A25" s="134">
        <f t="shared" si="2"/>
        <v>21</v>
      </c>
      <c r="B25" s="17" t="s">
        <v>434</v>
      </c>
      <c r="C25" s="17" t="s">
        <v>114</v>
      </c>
      <c r="D25" s="17" t="s">
        <v>117</v>
      </c>
      <c r="E25" s="17" t="s">
        <v>118</v>
      </c>
      <c r="F25" s="17">
        <v>173</v>
      </c>
      <c r="G25" s="17">
        <v>0</v>
      </c>
      <c r="H25" s="17">
        <v>116.3</v>
      </c>
      <c r="I25" s="135">
        <v>34119254.079999998</v>
      </c>
      <c r="J25" s="136">
        <v>1705962.7</v>
      </c>
    </row>
    <row r="26" spans="1:10" ht="19.8" customHeight="1" thickTop="1" thickBot="1" x14ac:dyDescent="0.35">
      <c r="A26" s="134">
        <f t="shared" si="2"/>
        <v>22</v>
      </c>
      <c r="B26" s="17" t="s">
        <v>425</v>
      </c>
      <c r="C26" s="17" t="s">
        <v>114</v>
      </c>
      <c r="D26" s="17" t="s">
        <v>115</v>
      </c>
      <c r="E26" s="17" t="s">
        <v>131</v>
      </c>
      <c r="F26" s="17">
        <v>127</v>
      </c>
      <c r="G26" s="17">
        <v>0</v>
      </c>
      <c r="H26" s="17">
        <v>0</v>
      </c>
      <c r="I26" s="135">
        <v>19793096.949999999</v>
      </c>
      <c r="J26" s="136">
        <v>989654.85</v>
      </c>
    </row>
    <row r="27" spans="1:10" ht="19.8" customHeight="1" thickTop="1" thickBot="1" x14ac:dyDescent="0.35">
      <c r="A27" s="134">
        <f t="shared" si="2"/>
        <v>23</v>
      </c>
      <c r="B27" s="17" t="s">
        <v>404</v>
      </c>
      <c r="C27" s="17" t="s">
        <v>114</v>
      </c>
      <c r="D27" s="17" t="s">
        <v>115</v>
      </c>
      <c r="E27" s="17" t="s">
        <v>118</v>
      </c>
      <c r="F27" s="17">
        <v>110</v>
      </c>
      <c r="G27" s="17">
        <v>0</v>
      </c>
      <c r="H27" s="17">
        <v>85.44</v>
      </c>
      <c r="I27" s="135">
        <v>23915767.84</v>
      </c>
      <c r="J27" s="136">
        <v>1195788.3899999999</v>
      </c>
    </row>
    <row r="28" spans="1:10" ht="19.8" customHeight="1" thickTop="1" thickBot="1" x14ac:dyDescent="0.35">
      <c r="A28" s="134">
        <f>ROW()-4</f>
        <v>24</v>
      </c>
      <c r="B28" s="17" t="s">
        <v>420</v>
      </c>
      <c r="C28" s="17" t="s">
        <v>114</v>
      </c>
      <c r="D28" s="17" t="s">
        <v>117</v>
      </c>
      <c r="E28" s="17" t="s">
        <v>118</v>
      </c>
      <c r="F28" s="17">
        <v>155.32</v>
      </c>
      <c r="G28" s="17">
        <v>0</v>
      </c>
      <c r="H28" s="17">
        <v>106.7</v>
      </c>
      <c r="I28" s="135">
        <v>32040278.27</v>
      </c>
      <c r="J28" s="136">
        <v>1602013.91</v>
      </c>
    </row>
    <row r="29" spans="1:10" ht="19.8" customHeight="1" thickTop="1" thickBot="1" x14ac:dyDescent="0.35">
      <c r="A29" s="134">
        <f t="shared" si="2"/>
        <v>25</v>
      </c>
      <c r="B29" s="17" t="s">
        <v>405</v>
      </c>
      <c r="C29" s="17" t="s">
        <v>114</v>
      </c>
      <c r="D29" s="17" t="s">
        <v>115</v>
      </c>
      <c r="E29" s="17" t="s">
        <v>116</v>
      </c>
      <c r="F29" s="17">
        <v>129.93</v>
      </c>
      <c r="G29" s="17">
        <v>0</v>
      </c>
      <c r="H29" s="17">
        <v>0</v>
      </c>
      <c r="I29" s="135">
        <v>20066718.300000001</v>
      </c>
      <c r="J29" s="136">
        <v>1003335.92</v>
      </c>
    </row>
    <row r="30" spans="1:10" ht="19.8" customHeight="1" thickTop="1" thickBot="1" x14ac:dyDescent="0.35">
      <c r="A30" s="134">
        <f t="shared" si="2"/>
        <v>26</v>
      </c>
      <c r="B30" s="17" t="s">
        <v>406</v>
      </c>
      <c r="C30" s="17" t="s">
        <v>114</v>
      </c>
      <c r="D30" s="17" t="s">
        <v>115</v>
      </c>
      <c r="E30" s="17" t="s">
        <v>131</v>
      </c>
      <c r="F30" s="17">
        <v>129.93</v>
      </c>
      <c r="G30" s="17">
        <v>0</v>
      </c>
      <c r="H30" s="17">
        <v>0</v>
      </c>
      <c r="I30" s="135">
        <v>20093954.690000001</v>
      </c>
      <c r="J30" s="136">
        <v>1004697.73</v>
      </c>
    </row>
    <row r="31" spans="1:10" ht="19.8" customHeight="1" thickTop="1" thickBot="1" x14ac:dyDescent="0.35">
      <c r="A31" s="134">
        <f t="shared" ref="A31:A38" si="3">ROW()-4</f>
        <v>27</v>
      </c>
      <c r="B31" s="17" t="s">
        <v>407</v>
      </c>
      <c r="C31" s="17" t="s">
        <v>114</v>
      </c>
      <c r="D31" s="17" t="s">
        <v>115</v>
      </c>
      <c r="E31" s="17" t="s">
        <v>132</v>
      </c>
      <c r="F31" s="17">
        <v>129.93</v>
      </c>
      <c r="G31" s="17">
        <v>0</v>
      </c>
      <c r="H31" s="17">
        <v>0</v>
      </c>
      <c r="I31" s="135">
        <v>20103033.48</v>
      </c>
      <c r="J31" s="136">
        <v>1005151.67</v>
      </c>
    </row>
    <row r="32" spans="1:10" ht="19.8" customHeight="1" thickTop="1" thickBot="1" x14ac:dyDescent="0.35">
      <c r="A32" s="134">
        <f t="shared" si="3"/>
        <v>28</v>
      </c>
      <c r="B32" s="17" t="s">
        <v>408</v>
      </c>
      <c r="C32" s="17" t="s">
        <v>114</v>
      </c>
      <c r="D32" s="17" t="s">
        <v>115</v>
      </c>
      <c r="E32" s="17" t="s">
        <v>133</v>
      </c>
      <c r="F32" s="17">
        <v>129.93</v>
      </c>
      <c r="G32" s="17">
        <v>0</v>
      </c>
      <c r="H32" s="17">
        <v>0</v>
      </c>
      <c r="I32" s="135">
        <v>20112112.280000001</v>
      </c>
      <c r="J32" s="136">
        <v>1005605.61</v>
      </c>
    </row>
    <row r="33" spans="1:10" ht="19.8" customHeight="1" thickTop="1" thickBot="1" x14ac:dyDescent="0.35">
      <c r="A33" s="22">
        <f>ROW()-4</f>
        <v>29</v>
      </c>
      <c r="B33" s="270" t="s">
        <v>409</v>
      </c>
      <c r="C33" s="270" t="s">
        <v>114</v>
      </c>
      <c r="D33" s="270" t="s">
        <v>115</v>
      </c>
      <c r="E33" s="270" t="s">
        <v>134</v>
      </c>
      <c r="F33" s="270">
        <v>127</v>
      </c>
      <c r="G33" s="270">
        <v>0</v>
      </c>
      <c r="H33" s="270">
        <v>0</v>
      </c>
      <c r="I33" s="271">
        <v>20284661.780000001</v>
      </c>
      <c r="J33" s="272">
        <v>1014233.09</v>
      </c>
    </row>
    <row r="34" spans="1:10" ht="19.8" customHeight="1" thickTop="1" thickBot="1" x14ac:dyDescent="0.35">
      <c r="A34" s="134">
        <f t="shared" si="3"/>
        <v>30</v>
      </c>
      <c r="B34" s="17" t="s">
        <v>410</v>
      </c>
      <c r="C34" s="17" t="s">
        <v>114</v>
      </c>
      <c r="D34" s="17" t="s">
        <v>115</v>
      </c>
      <c r="E34" s="17" t="s">
        <v>134</v>
      </c>
      <c r="F34" s="17">
        <v>129.93</v>
      </c>
      <c r="G34" s="17">
        <v>0</v>
      </c>
      <c r="H34" s="17">
        <v>0</v>
      </c>
      <c r="I34" s="135">
        <v>20130269.870000001</v>
      </c>
      <c r="J34" s="136">
        <v>1006513.49</v>
      </c>
    </row>
    <row r="35" spans="1:10" ht="19.8" customHeight="1" thickTop="1" thickBot="1" x14ac:dyDescent="0.35">
      <c r="A35" s="22">
        <f>ROW()-4</f>
        <v>31</v>
      </c>
      <c r="B35" s="270" t="s">
        <v>282</v>
      </c>
      <c r="C35" s="270" t="s">
        <v>114</v>
      </c>
      <c r="D35" s="270" t="s">
        <v>115</v>
      </c>
      <c r="E35" s="270" t="s">
        <v>118</v>
      </c>
      <c r="F35" s="270">
        <v>110</v>
      </c>
      <c r="G35" s="270">
        <v>0</v>
      </c>
      <c r="H35" s="270">
        <v>122.96</v>
      </c>
      <c r="I35" s="271">
        <v>25754927.699999999</v>
      </c>
      <c r="J35" s="272">
        <v>1287746.3899999999</v>
      </c>
    </row>
    <row r="36" spans="1:10" ht="19.8" customHeight="1" thickTop="1" thickBot="1" x14ac:dyDescent="0.35">
      <c r="A36" s="134">
        <f t="shared" si="3"/>
        <v>32</v>
      </c>
      <c r="B36" s="17" t="s">
        <v>419</v>
      </c>
      <c r="C36" s="17" t="s">
        <v>114</v>
      </c>
      <c r="D36" s="17" t="s">
        <v>117</v>
      </c>
      <c r="E36" s="17" t="s">
        <v>118</v>
      </c>
      <c r="F36" s="17">
        <v>155.32</v>
      </c>
      <c r="G36" s="17">
        <v>0</v>
      </c>
      <c r="H36" s="17">
        <v>107.31</v>
      </c>
      <c r="I36" s="135">
        <v>31680025.300000001</v>
      </c>
      <c r="J36" s="136">
        <v>1584001.27</v>
      </c>
    </row>
    <row r="37" spans="1:10" ht="19.8" customHeight="1" thickTop="1" thickBot="1" x14ac:dyDescent="0.35">
      <c r="A37" s="134">
        <f t="shared" si="3"/>
        <v>33</v>
      </c>
      <c r="B37" s="17" t="s">
        <v>283</v>
      </c>
      <c r="C37" s="17" t="s">
        <v>114</v>
      </c>
      <c r="D37" s="17" t="s">
        <v>115</v>
      </c>
      <c r="E37" s="17" t="s">
        <v>116</v>
      </c>
      <c r="F37" s="17">
        <v>127</v>
      </c>
      <c r="G37" s="17">
        <v>0</v>
      </c>
      <c r="H37" s="17">
        <v>0</v>
      </c>
      <c r="I37" s="135">
        <v>20502081.34</v>
      </c>
      <c r="J37" s="136">
        <v>1025104.07</v>
      </c>
    </row>
    <row r="38" spans="1:10" ht="19.8" customHeight="1" thickTop="1" thickBot="1" x14ac:dyDescent="0.35">
      <c r="A38" s="134">
        <f t="shared" si="3"/>
        <v>34</v>
      </c>
      <c r="B38" s="17" t="s">
        <v>284</v>
      </c>
      <c r="C38" s="17" t="s">
        <v>114</v>
      </c>
      <c r="D38" s="17" t="s">
        <v>115</v>
      </c>
      <c r="E38" s="17" t="s">
        <v>116</v>
      </c>
      <c r="F38" s="17">
        <v>129.93</v>
      </c>
      <c r="G38" s="17">
        <v>0</v>
      </c>
      <c r="H38" s="17">
        <v>0</v>
      </c>
      <c r="I38" s="135">
        <v>20066718.300000001</v>
      </c>
      <c r="J38" s="136">
        <v>1003335.92</v>
      </c>
    </row>
    <row r="39" spans="1:10" ht="19.8" customHeight="1" thickTop="1" thickBot="1" x14ac:dyDescent="0.35">
      <c r="A39" s="134">
        <f t="shared" ref="A39" si="4">ROW()-4</f>
        <v>35</v>
      </c>
      <c r="B39" s="17" t="s">
        <v>285</v>
      </c>
      <c r="C39" s="17" t="s">
        <v>114</v>
      </c>
      <c r="D39" s="17" t="s">
        <v>115</v>
      </c>
      <c r="E39" s="17" t="s">
        <v>131</v>
      </c>
      <c r="F39" s="17">
        <v>127</v>
      </c>
      <c r="G39" s="17">
        <v>0</v>
      </c>
      <c r="H39" s="17">
        <v>0</v>
      </c>
      <c r="I39" s="135">
        <v>20351218.789999999</v>
      </c>
      <c r="J39" s="136">
        <v>1017560.94</v>
      </c>
    </row>
    <row r="40" spans="1:10" ht="19.8" customHeight="1" thickTop="1" thickBot="1" x14ac:dyDescent="0.35">
      <c r="A40" s="134">
        <f t="shared" ref="A40:A46" si="5">ROW()-4</f>
        <v>36</v>
      </c>
      <c r="B40" s="17" t="s">
        <v>286</v>
      </c>
      <c r="C40" s="17" t="s">
        <v>114</v>
      </c>
      <c r="D40" s="17" t="s">
        <v>115</v>
      </c>
      <c r="E40" s="17" t="s">
        <v>131</v>
      </c>
      <c r="F40" s="17">
        <v>129.93</v>
      </c>
      <c r="G40" s="17">
        <v>0</v>
      </c>
      <c r="H40" s="17">
        <v>0</v>
      </c>
      <c r="I40" s="135">
        <v>19912378.789999999</v>
      </c>
      <c r="J40" s="136">
        <v>995618.94</v>
      </c>
    </row>
    <row r="41" spans="1:10" ht="19.8" customHeight="1" thickTop="1" thickBot="1" x14ac:dyDescent="0.35">
      <c r="A41" s="134">
        <f t="shared" si="5"/>
        <v>37</v>
      </c>
      <c r="B41" s="17" t="s">
        <v>412</v>
      </c>
      <c r="C41" s="17" t="s">
        <v>114</v>
      </c>
      <c r="D41" s="17" t="s">
        <v>115</v>
      </c>
      <c r="E41" s="17" t="s">
        <v>132</v>
      </c>
      <c r="F41" s="17">
        <v>127</v>
      </c>
      <c r="G41" s="17">
        <v>0</v>
      </c>
      <c r="H41" s="17">
        <v>0</v>
      </c>
      <c r="I41" s="135">
        <v>20360093.050000001</v>
      </c>
      <c r="J41" s="136">
        <v>1018004.65</v>
      </c>
    </row>
    <row r="42" spans="1:10" ht="19.8" customHeight="1" thickTop="1" thickBot="1" x14ac:dyDescent="0.35">
      <c r="A42" s="134">
        <f t="shared" si="5"/>
        <v>38</v>
      </c>
      <c r="B42" s="17" t="s">
        <v>287</v>
      </c>
      <c r="C42" s="17" t="s">
        <v>114</v>
      </c>
      <c r="D42" s="17" t="s">
        <v>115</v>
      </c>
      <c r="E42" s="17" t="s">
        <v>132</v>
      </c>
      <c r="F42" s="17">
        <v>129.93</v>
      </c>
      <c r="G42" s="17">
        <v>0</v>
      </c>
      <c r="H42" s="17">
        <v>0</v>
      </c>
      <c r="I42" s="135">
        <v>19921457.579999998</v>
      </c>
      <c r="J42" s="136">
        <v>996072.88</v>
      </c>
    </row>
    <row r="43" spans="1:10" ht="19.8" customHeight="1" thickTop="1" thickBot="1" x14ac:dyDescent="0.35">
      <c r="A43" s="134">
        <f t="shared" si="5"/>
        <v>39</v>
      </c>
      <c r="B43" s="17" t="s">
        <v>288</v>
      </c>
      <c r="C43" s="17" t="s">
        <v>114</v>
      </c>
      <c r="D43" s="17" t="s">
        <v>115</v>
      </c>
      <c r="E43" s="17" t="s">
        <v>133</v>
      </c>
      <c r="F43" s="17">
        <v>127</v>
      </c>
      <c r="G43" s="17">
        <v>0</v>
      </c>
      <c r="H43" s="17">
        <v>0</v>
      </c>
      <c r="I43" s="135">
        <v>20368967.32</v>
      </c>
      <c r="J43" s="136">
        <v>1018448.37</v>
      </c>
    </row>
    <row r="44" spans="1:10" ht="19.8" customHeight="1" thickTop="1" thickBot="1" x14ac:dyDescent="0.35">
      <c r="A44" s="134">
        <f t="shared" si="5"/>
        <v>40</v>
      </c>
      <c r="B44" s="17" t="s">
        <v>289</v>
      </c>
      <c r="C44" s="17" t="s">
        <v>114</v>
      </c>
      <c r="D44" s="17" t="s">
        <v>115</v>
      </c>
      <c r="E44" s="17" t="s">
        <v>133</v>
      </c>
      <c r="F44" s="17">
        <v>129.93</v>
      </c>
      <c r="G44" s="17">
        <v>0</v>
      </c>
      <c r="H44" s="17">
        <v>0</v>
      </c>
      <c r="I44" s="135">
        <v>19930536.379999999</v>
      </c>
      <c r="J44" s="136">
        <v>996526.82</v>
      </c>
    </row>
    <row r="45" spans="1:10" ht="19.8" customHeight="1" thickTop="1" thickBot="1" x14ac:dyDescent="0.35">
      <c r="A45" s="134">
        <f t="shared" si="5"/>
        <v>41</v>
      </c>
      <c r="B45" s="17" t="s">
        <v>290</v>
      </c>
      <c r="C45" s="17" t="s">
        <v>114</v>
      </c>
      <c r="D45" s="17" t="s">
        <v>115</v>
      </c>
      <c r="E45" s="17" t="s">
        <v>134</v>
      </c>
      <c r="F45" s="17">
        <v>127</v>
      </c>
      <c r="G45" s="17">
        <v>0</v>
      </c>
      <c r="H45" s="17">
        <v>0</v>
      </c>
      <c r="I45" s="135">
        <v>20386715.859999999</v>
      </c>
      <c r="J45" s="136">
        <v>1019335.79</v>
      </c>
    </row>
    <row r="46" spans="1:10" ht="19.8" customHeight="1" thickTop="1" thickBot="1" x14ac:dyDescent="0.35">
      <c r="A46" s="134">
        <f t="shared" si="5"/>
        <v>42</v>
      </c>
      <c r="B46" s="17" t="s">
        <v>291</v>
      </c>
      <c r="C46" s="17" t="s">
        <v>114</v>
      </c>
      <c r="D46" s="17" t="s">
        <v>115</v>
      </c>
      <c r="E46" s="17" t="s">
        <v>134</v>
      </c>
      <c r="F46" s="17">
        <v>129.93</v>
      </c>
      <c r="G46" s="17">
        <v>0</v>
      </c>
      <c r="H46" s="17">
        <v>0</v>
      </c>
      <c r="I46" s="135">
        <v>19948693.969999999</v>
      </c>
      <c r="J46" s="136">
        <v>997434.7</v>
      </c>
    </row>
    <row r="47" spans="1:10" ht="22.8" customHeight="1" thickTop="1" x14ac:dyDescent="0.3">
      <c r="A47" s="61"/>
      <c r="B47" s="67"/>
      <c r="C47" s="62"/>
      <c r="D47" s="62"/>
      <c r="E47" s="62"/>
      <c r="F47" s="62"/>
      <c r="G47" s="62"/>
      <c r="H47" s="62"/>
      <c r="I47" s="283"/>
      <c r="J47" s="62"/>
    </row>
    <row r="49" spans="2:4" ht="20.399999999999999" customHeight="1" x14ac:dyDescent="0.3">
      <c r="B49" s="146"/>
    </row>
    <row r="50" spans="2:4" ht="20.399999999999999" customHeight="1" x14ac:dyDescent="0.3">
      <c r="B50" s="146"/>
    </row>
    <row r="51" spans="2:4" ht="20.399999999999999" customHeight="1" x14ac:dyDescent="0.3">
      <c r="B51" s="146"/>
    </row>
    <row r="52" spans="2:4" ht="20.399999999999999" customHeight="1" x14ac:dyDescent="0.3">
      <c r="B52" s="146"/>
    </row>
    <row r="53" spans="2:4" ht="20.399999999999999" customHeight="1" x14ac:dyDescent="0.3">
      <c r="B53" s="146"/>
    </row>
    <row r="54" spans="2:4" ht="20.399999999999999" customHeight="1" x14ac:dyDescent="0.3">
      <c r="B54" s="146"/>
    </row>
    <row r="55" spans="2:4" ht="20.399999999999999" customHeight="1" x14ac:dyDescent="0.3">
      <c r="B55" s="146"/>
    </row>
    <row r="56" spans="2:4" ht="20.399999999999999" customHeight="1" x14ac:dyDescent="0.3">
      <c r="B56" s="146"/>
    </row>
    <row r="57" spans="2:4" ht="20.399999999999999" customHeight="1" x14ac:dyDescent="0.3">
      <c r="B57" s="146"/>
    </row>
    <row r="58" spans="2:4" ht="20.399999999999999" customHeight="1" x14ac:dyDescent="0.3">
      <c r="B58" s="146"/>
    </row>
    <row r="59" spans="2:4" ht="20.399999999999999" customHeight="1" x14ac:dyDescent="0.3">
      <c r="B59" s="146"/>
    </row>
    <row r="60" spans="2:4" ht="20.399999999999999" customHeight="1" x14ac:dyDescent="0.3">
      <c r="B60" s="146"/>
      <c r="D60" s="146"/>
    </row>
    <row r="61" spans="2:4" ht="20.399999999999999" customHeight="1" x14ac:dyDescent="0.3">
      <c r="B61" s="146"/>
    </row>
    <row r="62" spans="2:4" ht="20.399999999999999" customHeight="1" x14ac:dyDescent="0.3">
      <c r="B62" s="146"/>
    </row>
    <row r="63" spans="2:4" ht="20.399999999999999" customHeight="1" x14ac:dyDescent="0.3">
      <c r="B63" s="146"/>
    </row>
    <row r="64" spans="2:4" ht="20.399999999999999" customHeight="1" x14ac:dyDescent="0.3">
      <c r="B64" s="146"/>
    </row>
    <row r="65" spans="2:2" ht="20.399999999999999" customHeight="1" x14ac:dyDescent="0.3">
      <c r="B65" s="146"/>
    </row>
    <row r="66" spans="2:2" ht="20.399999999999999" customHeight="1" x14ac:dyDescent="0.3">
      <c r="B66" s="146"/>
    </row>
    <row r="67" spans="2:2" ht="20.399999999999999" customHeight="1" x14ac:dyDescent="0.3">
      <c r="B67" s="146"/>
    </row>
    <row r="68" spans="2:2" ht="20.399999999999999" customHeight="1" x14ac:dyDescent="0.3">
      <c r="B68" s="146"/>
    </row>
    <row r="69" spans="2:2" ht="20.399999999999999" customHeight="1" x14ac:dyDescent="0.3">
      <c r="B69" s="146"/>
    </row>
    <row r="70" spans="2:2" ht="20.399999999999999" customHeight="1" x14ac:dyDescent="0.3">
      <c r="B70" s="146"/>
    </row>
    <row r="71" spans="2:2" ht="20.399999999999999" customHeight="1" x14ac:dyDescent="0.3">
      <c r="B71" s="146"/>
    </row>
    <row r="72" spans="2:2" ht="20.399999999999999" customHeight="1" x14ac:dyDescent="0.3">
      <c r="B72" s="146"/>
    </row>
    <row r="73" spans="2:2" ht="20.399999999999999" customHeight="1" x14ac:dyDescent="0.3">
      <c r="B73" s="146"/>
    </row>
    <row r="74" spans="2:2" ht="20.399999999999999" customHeight="1" x14ac:dyDescent="0.3">
      <c r="B74" s="146"/>
    </row>
    <row r="75" spans="2:2" ht="20.399999999999999" customHeight="1" x14ac:dyDescent="0.3">
      <c r="B75" s="146"/>
    </row>
    <row r="76" spans="2:2" ht="20.399999999999999" customHeight="1" x14ac:dyDescent="0.3">
      <c r="B76" s="146"/>
    </row>
    <row r="77" spans="2:2" ht="20.399999999999999" customHeight="1" x14ac:dyDescent="0.3">
      <c r="B77" s="146"/>
    </row>
    <row r="78" spans="2:2" ht="20.399999999999999" customHeight="1" x14ac:dyDescent="0.3">
      <c r="B78" s="146"/>
    </row>
    <row r="79" spans="2:2" ht="20.399999999999999" customHeight="1" x14ac:dyDescent="0.3">
      <c r="B79" s="146"/>
    </row>
    <row r="80" spans="2:2" ht="20.399999999999999" customHeight="1" x14ac:dyDescent="0.3">
      <c r="B80" s="146"/>
    </row>
    <row r="81" spans="2:2" ht="20.399999999999999" customHeight="1" x14ac:dyDescent="0.3">
      <c r="B81" s="146"/>
    </row>
    <row r="82" spans="2:2" ht="20.399999999999999" customHeight="1" x14ac:dyDescent="0.3">
      <c r="B82" s="146"/>
    </row>
    <row r="83" spans="2:2" ht="20.399999999999999" customHeight="1" x14ac:dyDescent="0.3">
      <c r="B83" s="146"/>
    </row>
    <row r="84" spans="2:2" ht="20.399999999999999" customHeight="1" x14ac:dyDescent="0.3">
      <c r="B84" s="146"/>
    </row>
  </sheetData>
  <mergeCells count="1">
    <mergeCell ref="A1:J1"/>
  </mergeCells>
  <phoneticPr fontId="21" type="noConversion"/>
  <conditionalFormatting sqref="B1:B1048576">
    <cfRule type="duplicateValues" dxfId="311" priority="1"/>
    <cfRule type="duplicateValues" dxfId="310" priority="2"/>
    <cfRule type="duplicateValues" dxfId="309" priority="3"/>
    <cfRule type="duplicateValues" dxfId="308" priority="4"/>
    <cfRule type="duplicateValues" dxfId="307" priority="7"/>
    <cfRule type="duplicateValues" dxfId="306" priority="8"/>
  </conditionalFormatting>
  <conditionalFormatting sqref="B5:B46">
    <cfRule type="duplicateValues" dxfId="305" priority="9138"/>
    <cfRule type="duplicateValues" dxfId="304" priority="9137"/>
  </conditionalFormatting>
  <conditionalFormatting sqref="B47">
    <cfRule type="duplicateValues" dxfId="303" priority="3177"/>
  </conditionalFormatting>
  <conditionalFormatting sqref="B47:B48 B2:B4">
    <cfRule type="duplicateValues" dxfId="302" priority="3176"/>
    <cfRule type="duplicateValues" dxfId="301" priority="3236"/>
  </conditionalFormatting>
  <conditionalFormatting sqref="B47:B48">
    <cfRule type="duplicateValues" dxfId="300" priority="3231"/>
    <cfRule type="duplicateValues" dxfId="299" priority="3233"/>
  </conditionalFormatting>
  <conditionalFormatting sqref="B48">
    <cfRule type="duplicateValues" dxfId="298" priority="2655"/>
  </conditionalFormatting>
  <conditionalFormatting sqref="B50">
    <cfRule type="duplicateValues" dxfId="297" priority="9"/>
    <cfRule type="duplicateValues" dxfId="296" priority="10"/>
  </conditionalFormatting>
  <conditionalFormatting sqref="B51:B1048576 B1:B49">
    <cfRule type="duplicateValues" dxfId="295" priority="13"/>
    <cfRule type="duplicateValues" dxfId="294" priority="14"/>
  </conditionalFormatting>
  <conditionalFormatting sqref="B70:B1048576 B1:B49">
    <cfRule type="duplicateValues" dxfId="293" priority="16"/>
  </conditionalFormatting>
  <conditionalFormatting sqref="B70:B1048576">
    <cfRule type="duplicateValues" dxfId="292" priority="15"/>
  </conditionalFormatting>
  <conditionalFormatting sqref="B73:B1048576 B1:B49">
    <cfRule type="duplicateValues" dxfId="291" priority="17"/>
  </conditionalFormatting>
  <conditionalFormatting sqref="B74:B1048576 B1:B49">
    <cfRule type="duplicateValues" dxfId="290" priority="18"/>
  </conditionalFormatting>
  <conditionalFormatting sqref="B75:B1048576 B1:B49">
    <cfRule type="duplicateValues" dxfId="289" priority="19"/>
    <cfRule type="duplicateValues" dxfId="288" priority="20"/>
  </conditionalFormatting>
  <conditionalFormatting sqref="B80:B1048576 B1:B49">
    <cfRule type="duplicateValues" dxfId="287" priority="22"/>
    <cfRule type="duplicateValues" dxfId="286" priority="23"/>
    <cfRule type="duplicateValues" dxfId="285" priority="24"/>
  </conditionalFormatting>
  <conditionalFormatting sqref="B80:B1048576">
    <cfRule type="duplicateValues" dxfId="284" priority="21"/>
  </conditionalFormatting>
  <conditionalFormatting sqref="B81:B1048576 B1:B48">
    <cfRule type="duplicateValues" dxfId="283" priority="25"/>
    <cfRule type="duplicateValues" dxfId="282" priority="27"/>
    <cfRule type="duplicateValues" dxfId="281" priority="28"/>
  </conditionalFormatting>
  <conditionalFormatting sqref="B81:B1048576 B2:B48">
    <cfRule type="duplicateValues" dxfId="280" priority="30"/>
    <cfRule type="duplicateValues" dxfId="279" priority="4198"/>
  </conditionalFormatting>
  <conditionalFormatting sqref="B81:B1048576 B47:B48 B2:B4">
    <cfRule type="duplicateValues" dxfId="278" priority="4204"/>
    <cfRule type="duplicateValues" dxfId="277" priority="4208"/>
    <cfRule type="duplicateValues" dxfId="276" priority="4209"/>
    <cfRule type="duplicateValues" dxfId="275" priority="4211"/>
    <cfRule type="duplicateValues" dxfId="274" priority="4210"/>
  </conditionalFormatting>
  <conditionalFormatting sqref="B81:B1048576 B47:B48">
    <cfRule type="duplicateValues" dxfId="273" priority="4224"/>
  </conditionalFormatting>
  <conditionalFormatting sqref="B81:B1048576">
    <cfRule type="duplicateValues" dxfId="272" priority="29"/>
    <cfRule type="duplicateValues" dxfId="271" priority="4201"/>
    <cfRule type="duplicateValues" dxfId="270" priority="4227"/>
    <cfRule type="duplicateValues" dxfId="269" priority="26"/>
  </conditionalFormatting>
  <conditionalFormatting sqref="D60">
    <cfRule type="duplicateValues" dxfId="268" priority="12"/>
    <cfRule type="duplicateValues" dxfId="267" priority="11"/>
  </conditionalFormatting>
  <printOptions horizontalCentered="1"/>
  <pageMargins left="0" right="0" top="0.5" bottom="0" header="0" footer="0"/>
  <pageSetup scale="55" fitToHeight="2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3548-8B88-40EE-B30B-CED25281F0DE}">
  <dimension ref="A1:M49"/>
  <sheetViews>
    <sheetView view="pageBreakPreview" topLeftCell="A39" zoomScale="95" zoomScaleNormal="94" zoomScaleSheetLayoutView="105" workbookViewId="0">
      <selection activeCell="H53" sqref="H53"/>
    </sheetView>
  </sheetViews>
  <sheetFormatPr defaultColWidth="18.6640625" defaultRowHeight="14.4" x14ac:dyDescent="0.3"/>
  <cols>
    <col min="1" max="1" width="5.6640625" customWidth="1"/>
    <col min="2" max="2" width="18.21875" customWidth="1"/>
    <col min="3" max="3" width="18.44140625" customWidth="1"/>
    <col min="4" max="4" width="12" customWidth="1"/>
    <col min="5" max="5" width="12.44140625" customWidth="1"/>
    <col min="6" max="6" width="15.6640625" customWidth="1"/>
    <col min="7" max="7" width="17.44140625" customWidth="1"/>
    <col min="8" max="8" width="21.5546875" customWidth="1"/>
    <col min="9" max="9" width="20.88671875" customWidth="1"/>
  </cols>
  <sheetData>
    <row r="1" spans="1:13" ht="45" customHeight="1" thickBot="1" x14ac:dyDescent="0.35">
      <c r="A1" s="311" t="s">
        <v>55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</row>
    <row r="2" spans="1:13" ht="7.8" customHeight="1" x14ac:dyDescent="0.3">
      <c r="A2" s="254"/>
      <c r="B2" s="254"/>
      <c r="C2" s="254"/>
      <c r="D2" s="254"/>
      <c r="E2" s="254"/>
      <c r="F2" s="254"/>
      <c r="G2" s="254"/>
      <c r="H2" s="254"/>
    </row>
    <row r="3" spans="1:13" ht="7.8" customHeight="1" x14ac:dyDescent="0.3"/>
    <row r="4" spans="1:13" ht="7.8" customHeight="1" thickBot="1" x14ac:dyDescent="0.35"/>
    <row r="5" spans="1:13" ht="25.2" customHeight="1" thickBot="1" x14ac:dyDescent="0.35">
      <c r="H5" s="318" t="s">
        <v>389</v>
      </c>
      <c r="I5" s="319"/>
      <c r="J5" s="319" t="s">
        <v>336</v>
      </c>
      <c r="K5" s="319"/>
      <c r="L5" s="319" t="s">
        <v>390</v>
      </c>
      <c r="M5" s="320"/>
    </row>
    <row r="6" spans="1:13" ht="32.4" customHeight="1" thickBot="1" x14ac:dyDescent="0.35">
      <c r="A6" s="38" t="s">
        <v>5</v>
      </c>
      <c r="B6" s="38" t="s">
        <v>11</v>
      </c>
      <c r="C6" s="38" t="s">
        <v>43</v>
      </c>
      <c r="D6" s="38" t="s">
        <v>13</v>
      </c>
      <c r="E6" s="38" t="s">
        <v>47</v>
      </c>
      <c r="F6" s="38" t="s">
        <v>48</v>
      </c>
      <c r="G6" s="38" t="s">
        <v>49</v>
      </c>
      <c r="H6" s="103" t="s">
        <v>199</v>
      </c>
      <c r="I6" s="103" t="s">
        <v>98</v>
      </c>
      <c r="J6" s="103" t="s">
        <v>391</v>
      </c>
      <c r="K6" s="103" t="s">
        <v>186</v>
      </c>
      <c r="L6" s="103" t="s">
        <v>392</v>
      </c>
      <c r="M6" s="103" t="s">
        <v>388</v>
      </c>
    </row>
    <row r="7" spans="1:13" ht="15.6" thickTop="1" thickBot="1" x14ac:dyDescent="0.35">
      <c r="A7" s="117">
        <f t="shared" ref="A7:A33" si="0">ROW()-6</f>
        <v>1</v>
      </c>
      <c r="B7" s="117" t="s">
        <v>300</v>
      </c>
      <c r="C7" s="117" t="s">
        <v>301</v>
      </c>
      <c r="D7" s="117" t="s">
        <v>116</v>
      </c>
      <c r="E7" s="117">
        <v>497.76</v>
      </c>
      <c r="F7" s="117">
        <v>0</v>
      </c>
      <c r="G7" s="117">
        <v>5</v>
      </c>
      <c r="H7" s="266">
        <v>128051248.8</v>
      </c>
      <c r="I7" s="121">
        <v>12805124.880000001</v>
      </c>
      <c r="J7" s="168">
        <v>105002024.02</v>
      </c>
      <c r="K7" s="168">
        <v>10500202.4</v>
      </c>
      <c r="L7" s="168">
        <v>98911906.620000005</v>
      </c>
      <c r="M7" s="168">
        <v>9891190.6600000001</v>
      </c>
    </row>
    <row r="8" spans="1:13" ht="15.6" thickTop="1" thickBot="1" x14ac:dyDescent="0.35">
      <c r="A8" s="117">
        <f t="shared" si="0"/>
        <v>2</v>
      </c>
      <c r="B8" s="117" t="s">
        <v>302</v>
      </c>
      <c r="C8" s="117" t="s">
        <v>301</v>
      </c>
      <c r="D8" s="117" t="s">
        <v>116</v>
      </c>
      <c r="E8" s="117">
        <v>500.16</v>
      </c>
      <c r="F8" s="117">
        <v>0</v>
      </c>
      <c r="G8" s="117">
        <v>5</v>
      </c>
      <c r="H8" s="121">
        <v>116661716.90000001</v>
      </c>
      <c r="I8" s="121">
        <v>11666171.689999999</v>
      </c>
      <c r="J8" s="121">
        <v>95662607.859999999</v>
      </c>
      <c r="K8" s="121">
        <v>9566260.7899999991</v>
      </c>
      <c r="L8" s="121">
        <v>90114176.599999994</v>
      </c>
      <c r="M8" s="121">
        <v>9011417.6600000001</v>
      </c>
    </row>
    <row r="9" spans="1:13" ht="15.6" thickTop="1" thickBot="1" x14ac:dyDescent="0.35">
      <c r="A9" s="117">
        <f t="shared" si="0"/>
        <v>3</v>
      </c>
      <c r="B9" s="117" t="s">
        <v>303</v>
      </c>
      <c r="C9" s="117" t="s">
        <v>301</v>
      </c>
      <c r="D9" s="117" t="s">
        <v>116</v>
      </c>
      <c r="E9" s="117">
        <v>447.8</v>
      </c>
      <c r="F9" s="117">
        <v>0</v>
      </c>
      <c r="G9" s="117">
        <v>4</v>
      </c>
      <c r="H9" s="121">
        <v>104448810.09999999</v>
      </c>
      <c r="I9" s="121">
        <v>10444881.01</v>
      </c>
      <c r="J9" s="121">
        <v>85648024.280000001</v>
      </c>
      <c r="K9" s="121">
        <v>8564802.4299999997</v>
      </c>
      <c r="L9" s="121">
        <v>80680438.870000005</v>
      </c>
      <c r="M9" s="121">
        <v>8068043.8899999997</v>
      </c>
    </row>
    <row r="10" spans="1:13" ht="15.6" thickTop="1" thickBot="1" x14ac:dyDescent="0.35">
      <c r="A10" s="117">
        <f t="shared" si="0"/>
        <v>4</v>
      </c>
      <c r="B10" s="117" t="s">
        <v>304</v>
      </c>
      <c r="C10" s="120" t="s">
        <v>301</v>
      </c>
      <c r="D10" s="120" t="s">
        <v>132</v>
      </c>
      <c r="E10" s="120">
        <v>497.76</v>
      </c>
      <c r="F10" s="120">
        <v>0</v>
      </c>
      <c r="G10" s="120">
        <v>5</v>
      </c>
      <c r="H10" s="168">
        <v>128051248.8</v>
      </c>
      <c r="I10" s="168">
        <v>12805124.880000001</v>
      </c>
      <c r="J10" s="121">
        <v>105002024.02</v>
      </c>
      <c r="K10" s="121">
        <v>10500202.4</v>
      </c>
      <c r="L10" s="121">
        <v>98911906.620000005</v>
      </c>
      <c r="M10" s="121">
        <v>9891190.6600000001</v>
      </c>
    </row>
    <row r="11" spans="1:13" ht="15.6" thickTop="1" thickBot="1" x14ac:dyDescent="0.35">
      <c r="A11" s="117">
        <f t="shared" si="0"/>
        <v>5</v>
      </c>
      <c r="B11" s="117" t="s">
        <v>305</v>
      </c>
      <c r="C11" s="120" t="s">
        <v>301</v>
      </c>
      <c r="D11" s="120" t="s">
        <v>132</v>
      </c>
      <c r="E11" s="120">
        <v>447.8</v>
      </c>
      <c r="F11" s="120">
        <v>0</v>
      </c>
      <c r="G11" s="120">
        <v>4</v>
      </c>
      <c r="H11" s="168">
        <v>104448810.09999999</v>
      </c>
      <c r="I11" s="168">
        <v>10444881.01</v>
      </c>
      <c r="J11" s="121">
        <v>85648024.280000001</v>
      </c>
      <c r="K11" s="121">
        <v>8564802.4299999997</v>
      </c>
      <c r="L11" s="121">
        <v>80680438.870000005</v>
      </c>
      <c r="M11" s="121">
        <v>8068043.8899999997</v>
      </c>
    </row>
    <row r="12" spans="1:13" ht="15.6" thickTop="1" thickBot="1" x14ac:dyDescent="0.35">
      <c r="A12" s="117">
        <f t="shared" si="0"/>
        <v>6</v>
      </c>
      <c r="B12" s="117" t="s">
        <v>384</v>
      </c>
      <c r="C12" s="120" t="s">
        <v>301</v>
      </c>
      <c r="D12" s="120" t="s">
        <v>133</v>
      </c>
      <c r="E12" s="120">
        <v>176.83</v>
      </c>
      <c r="F12" s="120">
        <v>0</v>
      </c>
      <c r="G12" s="120">
        <v>2</v>
      </c>
      <c r="H12" s="168">
        <v>43449267.109999999</v>
      </c>
      <c r="I12" s="168">
        <v>4344926.71</v>
      </c>
      <c r="J12" s="121">
        <v>35628399.030000001</v>
      </c>
      <c r="K12" s="121">
        <v>3562839.9</v>
      </c>
      <c r="L12" s="121">
        <v>33561951.890000001</v>
      </c>
      <c r="M12" s="121">
        <v>3356195.19</v>
      </c>
    </row>
    <row r="13" spans="1:13" ht="15.6" thickTop="1" thickBot="1" x14ac:dyDescent="0.35">
      <c r="A13" s="117">
        <f t="shared" si="0"/>
        <v>7</v>
      </c>
      <c r="B13" s="117" t="s">
        <v>393</v>
      </c>
      <c r="C13" s="120" t="s">
        <v>306</v>
      </c>
      <c r="D13" s="120" t="s">
        <v>116</v>
      </c>
      <c r="E13" s="120">
        <v>219.15</v>
      </c>
      <c r="F13" s="120">
        <v>0</v>
      </c>
      <c r="G13" s="120">
        <v>2</v>
      </c>
      <c r="H13" s="168">
        <v>56377433.25</v>
      </c>
      <c r="I13" s="168">
        <v>5637743.3300000001</v>
      </c>
      <c r="J13" s="121">
        <v>46229495.270000003</v>
      </c>
      <c r="K13" s="121">
        <v>4622949.53</v>
      </c>
      <c r="L13" s="121">
        <v>43548184.539999999</v>
      </c>
      <c r="M13" s="121">
        <v>4354818.45</v>
      </c>
    </row>
    <row r="14" spans="1:13" ht="15.6" thickTop="1" thickBot="1" x14ac:dyDescent="0.35">
      <c r="A14" s="117">
        <f t="shared" si="0"/>
        <v>8</v>
      </c>
      <c r="B14" s="117" t="s">
        <v>307</v>
      </c>
      <c r="C14" s="120" t="s">
        <v>306</v>
      </c>
      <c r="D14" s="120" t="s">
        <v>116</v>
      </c>
      <c r="E14" s="120">
        <v>201.11</v>
      </c>
      <c r="F14" s="120">
        <v>0</v>
      </c>
      <c r="G14" s="120">
        <v>2</v>
      </c>
      <c r="H14" s="168">
        <v>51331658.289999999</v>
      </c>
      <c r="I14" s="168">
        <v>5133165.83</v>
      </c>
      <c r="J14" s="121">
        <v>42091959.799999997</v>
      </c>
      <c r="K14" s="121">
        <v>4209195.9800000004</v>
      </c>
      <c r="L14" s="121">
        <v>39650626.130000003</v>
      </c>
      <c r="M14" s="121">
        <v>3965062.61</v>
      </c>
    </row>
    <row r="15" spans="1:13" ht="15.6" thickTop="1" thickBot="1" x14ac:dyDescent="0.35">
      <c r="A15" s="117">
        <f t="shared" si="0"/>
        <v>9</v>
      </c>
      <c r="B15" s="117" t="s">
        <v>308</v>
      </c>
      <c r="C15" s="120" t="s">
        <v>306</v>
      </c>
      <c r="D15" s="120" t="s">
        <v>116</v>
      </c>
      <c r="E15" s="120">
        <v>180.22</v>
      </c>
      <c r="F15" s="120">
        <v>0</v>
      </c>
      <c r="G15" s="120">
        <v>2</v>
      </c>
      <c r="H15" s="168">
        <v>42036097.710000001</v>
      </c>
      <c r="I15" s="168">
        <v>4203609.7699999996</v>
      </c>
      <c r="J15" s="121">
        <v>34469600.119999997</v>
      </c>
      <c r="K15" s="121">
        <v>3446960.01</v>
      </c>
      <c r="L15" s="121">
        <v>32470363.32</v>
      </c>
      <c r="M15" s="121">
        <v>3247036.33</v>
      </c>
    </row>
    <row r="16" spans="1:13" ht="15.6" thickTop="1" thickBot="1" x14ac:dyDescent="0.35">
      <c r="A16" s="117">
        <f t="shared" si="0"/>
        <v>10</v>
      </c>
      <c r="B16" s="117" t="s">
        <v>309</v>
      </c>
      <c r="C16" s="120" t="s">
        <v>306</v>
      </c>
      <c r="D16" s="120" t="s">
        <v>116</v>
      </c>
      <c r="E16" s="120">
        <v>156.47999999999999</v>
      </c>
      <c r="F16" s="120">
        <v>0</v>
      </c>
      <c r="G16" s="120">
        <v>2</v>
      </c>
      <c r="H16" s="168">
        <v>35448634.049999997</v>
      </c>
      <c r="I16" s="168">
        <v>3544863.41</v>
      </c>
      <c r="J16" s="121">
        <v>29067879.920000002</v>
      </c>
      <c r="K16" s="121">
        <v>2906787.99</v>
      </c>
      <c r="L16" s="121">
        <v>27381942.890000001</v>
      </c>
      <c r="M16" s="121">
        <v>2738194.29</v>
      </c>
    </row>
    <row r="17" spans="1:13" ht="15.6" thickTop="1" thickBot="1" x14ac:dyDescent="0.35">
      <c r="A17" s="117">
        <f t="shared" si="0"/>
        <v>11</v>
      </c>
      <c r="B17" s="117" t="s">
        <v>310</v>
      </c>
      <c r="C17" s="117" t="s">
        <v>306</v>
      </c>
      <c r="D17" s="117" t="s">
        <v>116</v>
      </c>
      <c r="E17" s="117">
        <v>274.16000000000003</v>
      </c>
      <c r="F17" s="117">
        <v>0</v>
      </c>
      <c r="G17" s="117">
        <v>3</v>
      </c>
      <c r="H17" s="168">
        <v>63947489.439999998</v>
      </c>
      <c r="I17" s="121">
        <v>6394748.9400000004</v>
      </c>
      <c r="J17" s="121">
        <v>52436941.340000004</v>
      </c>
      <c r="K17" s="121">
        <v>5243694.13</v>
      </c>
      <c r="L17" s="121">
        <v>49395598.740000002</v>
      </c>
      <c r="M17" s="121">
        <v>4939559.87</v>
      </c>
    </row>
    <row r="18" spans="1:13" ht="15.6" thickTop="1" thickBot="1" x14ac:dyDescent="0.35">
      <c r="A18" s="117">
        <f t="shared" si="0"/>
        <v>12</v>
      </c>
      <c r="B18" s="117" t="s">
        <v>311</v>
      </c>
      <c r="C18" s="120" t="s">
        <v>306</v>
      </c>
      <c r="D18" s="120" t="s">
        <v>131</v>
      </c>
      <c r="E18" s="120">
        <v>156.47999999999999</v>
      </c>
      <c r="F18" s="120">
        <v>0</v>
      </c>
      <c r="G18" s="120">
        <v>2</v>
      </c>
      <c r="H18" s="168">
        <v>35448634.049999997</v>
      </c>
      <c r="I18" s="168">
        <v>3544863.41</v>
      </c>
      <c r="J18" s="121">
        <v>29067879.920000002</v>
      </c>
      <c r="K18" s="121">
        <v>2906787.99</v>
      </c>
      <c r="L18" s="121">
        <v>27381942.890000001</v>
      </c>
      <c r="M18" s="121">
        <v>2738194.29</v>
      </c>
    </row>
    <row r="19" spans="1:13" ht="15.6" thickTop="1" thickBot="1" x14ac:dyDescent="0.35">
      <c r="A19" s="117">
        <f t="shared" si="0"/>
        <v>13</v>
      </c>
      <c r="B19" s="117" t="s">
        <v>312</v>
      </c>
      <c r="C19" s="120" t="s">
        <v>306</v>
      </c>
      <c r="D19" s="120" t="s">
        <v>131</v>
      </c>
      <c r="E19" s="120">
        <v>274.16000000000003</v>
      </c>
      <c r="F19" s="120">
        <v>0</v>
      </c>
      <c r="G19" s="120">
        <v>3</v>
      </c>
      <c r="H19" s="168">
        <v>63947489.439999998</v>
      </c>
      <c r="I19" s="168">
        <v>6394748.9400000004</v>
      </c>
      <c r="J19" s="121">
        <v>52436941.340000004</v>
      </c>
      <c r="K19" s="121">
        <v>5243694.13</v>
      </c>
      <c r="L19" s="121">
        <v>49395598.740000002</v>
      </c>
      <c r="M19" s="121">
        <v>4939559.87</v>
      </c>
    </row>
    <row r="20" spans="1:13" ht="15.6" thickTop="1" thickBot="1" x14ac:dyDescent="0.35">
      <c r="A20" s="117">
        <f t="shared" si="0"/>
        <v>14</v>
      </c>
      <c r="B20" s="117" t="s">
        <v>459</v>
      </c>
      <c r="C20" s="120" t="s">
        <v>306</v>
      </c>
      <c r="D20" s="120" t="s">
        <v>132</v>
      </c>
      <c r="E20" s="120">
        <v>197.48</v>
      </c>
      <c r="F20" s="120">
        <v>0</v>
      </c>
      <c r="G20" s="120">
        <v>2</v>
      </c>
      <c r="H20" s="168">
        <v>48523221.560000002</v>
      </c>
      <c r="I20" s="168">
        <v>4852322.16</v>
      </c>
      <c r="J20" s="121">
        <v>39789041.68</v>
      </c>
      <c r="K20" s="121">
        <v>3978904.17</v>
      </c>
      <c r="L20" s="121">
        <v>37481277.259999998</v>
      </c>
      <c r="M20" s="121">
        <v>3748127.73</v>
      </c>
    </row>
    <row r="21" spans="1:13" ht="15.6" thickTop="1" thickBot="1" x14ac:dyDescent="0.35">
      <c r="A21" s="117">
        <f t="shared" si="0"/>
        <v>15</v>
      </c>
      <c r="B21" s="117" t="s">
        <v>462</v>
      </c>
      <c r="C21" s="120" t="s">
        <v>306</v>
      </c>
      <c r="D21" s="120" t="s">
        <v>132</v>
      </c>
      <c r="E21" s="120">
        <v>201.11</v>
      </c>
      <c r="F21" s="120">
        <v>0</v>
      </c>
      <c r="G21" s="120">
        <v>2</v>
      </c>
      <c r="H21" s="168">
        <v>51331658.289999999</v>
      </c>
      <c r="I21" s="168">
        <v>5133165.83</v>
      </c>
      <c r="J21" s="121">
        <v>42091959.799999997</v>
      </c>
      <c r="K21" s="121">
        <v>4209195.9800000004</v>
      </c>
      <c r="L21" s="121">
        <v>39650626.130000003</v>
      </c>
      <c r="M21" s="121">
        <v>3965062.61</v>
      </c>
    </row>
    <row r="22" spans="1:13" ht="15.6" thickTop="1" thickBot="1" x14ac:dyDescent="0.35">
      <c r="A22" s="117">
        <f t="shared" si="0"/>
        <v>16</v>
      </c>
      <c r="B22" s="117" t="s">
        <v>313</v>
      </c>
      <c r="C22" s="120" t="s">
        <v>306</v>
      </c>
      <c r="D22" s="120" t="s">
        <v>132</v>
      </c>
      <c r="E22" s="120">
        <v>180.22</v>
      </c>
      <c r="F22" s="120">
        <v>0</v>
      </c>
      <c r="G22" s="120">
        <v>2</v>
      </c>
      <c r="H22" s="168">
        <v>42036097.710000001</v>
      </c>
      <c r="I22" s="168">
        <v>4203609.7699999996</v>
      </c>
      <c r="J22" s="121">
        <v>34469600.119999997</v>
      </c>
      <c r="K22" s="121">
        <v>3446960.01</v>
      </c>
      <c r="L22" s="121">
        <v>32470363.32</v>
      </c>
      <c r="M22" s="121">
        <v>3247036.33</v>
      </c>
    </row>
    <row r="23" spans="1:13" ht="15.6" thickTop="1" thickBot="1" x14ac:dyDescent="0.35">
      <c r="A23" s="117">
        <f t="shared" si="0"/>
        <v>17</v>
      </c>
      <c r="B23" s="117" t="s">
        <v>314</v>
      </c>
      <c r="C23" s="120" t="s">
        <v>306</v>
      </c>
      <c r="D23" s="120" t="s">
        <v>132</v>
      </c>
      <c r="E23" s="120">
        <v>156.47999999999999</v>
      </c>
      <c r="F23" s="120">
        <v>0</v>
      </c>
      <c r="G23" s="120">
        <v>2</v>
      </c>
      <c r="H23" s="168">
        <v>35448634.049999997</v>
      </c>
      <c r="I23" s="168">
        <v>3544863.41</v>
      </c>
      <c r="J23" s="121">
        <v>29067879.920000002</v>
      </c>
      <c r="K23" s="121">
        <v>2906787.99</v>
      </c>
      <c r="L23" s="121">
        <v>27381942.890000001</v>
      </c>
      <c r="M23" s="121">
        <v>2738194.29</v>
      </c>
    </row>
    <row r="24" spans="1:13" ht="15.6" thickTop="1" thickBot="1" x14ac:dyDescent="0.35">
      <c r="A24" s="117">
        <f t="shared" si="0"/>
        <v>18</v>
      </c>
      <c r="B24" s="117" t="s">
        <v>422</v>
      </c>
      <c r="C24" s="120" t="s">
        <v>306</v>
      </c>
      <c r="D24" s="120" t="s">
        <v>132</v>
      </c>
      <c r="E24" s="120">
        <v>134.03</v>
      </c>
      <c r="F24" s="120">
        <v>0</v>
      </c>
      <c r="G24" s="120">
        <v>1</v>
      </c>
      <c r="H24" s="168">
        <v>30362860.57</v>
      </c>
      <c r="I24" s="168">
        <v>3036286.06</v>
      </c>
      <c r="J24" s="121">
        <v>24897545.670000002</v>
      </c>
      <c r="K24" s="121">
        <v>2489754.5699999998</v>
      </c>
      <c r="L24" s="121">
        <v>23453488.02</v>
      </c>
      <c r="M24" s="121">
        <v>2345348.7999999998</v>
      </c>
    </row>
    <row r="25" spans="1:13" ht="15.6" thickTop="1" thickBot="1" x14ac:dyDescent="0.35">
      <c r="A25" s="117">
        <f t="shared" si="0"/>
        <v>19</v>
      </c>
      <c r="B25" s="117" t="s">
        <v>315</v>
      </c>
      <c r="C25" s="120" t="s">
        <v>306</v>
      </c>
      <c r="D25" s="120" t="s">
        <v>132</v>
      </c>
      <c r="E25" s="120">
        <v>274.16000000000003</v>
      </c>
      <c r="F25" s="120">
        <v>0</v>
      </c>
      <c r="G25" s="120">
        <v>3</v>
      </c>
      <c r="H25" s="168">
        <v>63947489.439999998</v>
      </c>
      <c r="I25" s="168">
        <v>6394748.9400000004</v>
      </c>
      <c r="J25" s="121">
        <v>52436941.340000004</v>
      </c>
      <c r="K25" s="121">
        <v>5243694.13</v>
      </c>
      <c r="L25" s="121">
        <v>49395598.740000002</v>
      </c>
      <c r="M25" s="121">
        <v>4939559.87</v>
      </c>
    </row>
    <row r="26" spans="1:13" ht="15.6" thickTop="1" thickBot="1" x14ac:dyDescent="0.35">
      <c r="A26" s="117">
        <f t="shared" si="0"/>
        <v>20</v>
      </c>
      <c r="B26" s="117" t="s">
        <v>316</v>
      </c>
      <c r="C26" s="120" t="s">
        <v>306</v>
      </c>
      <c r="D26" s="120" t="s">
        <v>133</v>
      </c>
      <c r="E26" s="120">
        <v>383.8</v>
      </c>
      <c r="F26" s="120">
        <v>0</v>
      </c>
      <c r="G26" s="120">
        <v>4</v>
      </c>
      <c r="H26" s="168">
        <v>98734469</v>
      </c>
      <c r="I26" s="168">
        <v>9873446.9000000004</v>
      </c>
      <c r="J26" s="121">
        <v>80962264.579999998</v>
      </c>
      <c r="K26" s="121">
        <v>8096226.46</v>
      </c>
      <c r="L26" s="121">
        <v>76266453.230000004</v>
      </c>
      <c r="M26" s="121">
        <v>7626645.3200000003</v>
      </c>
    </row>
    <row r="27" spans="1:13" ht="15.6" thickTop="1" thickBot="1" x14ac:dyDescent="0.35">
      <c r="A27" s="117">
        <f t="shared" si="0"/>
        <v>21</v>
      </c>
      <c r="B27" s="117" t="s">
        <v>317</v>
      </c>
      <c r="C27" s="120" t="s">
        <v>306</v>
      </c>
      <c r="D27" s="120" t="s">
        <v>133</v>
      </c>
      <c r="E27" s="120">
        <v>196.96</v>
      </c>
      <c r="F27" s="120">
        <v>0</v>
      </c>
      <c r="G27" s="120">
        <v>2</v>
      </c>
      <c r="H27" s="168">
        <v>48395451.280000001</v>
      </c>
      <c r="I27" s="168">
        <v>4839545.13</v>
      </c>
      <c r="J27" s="121">
        <v>39684270.049999997</v>
      </c>
      <c r="K27" s="121">
        <v>3968427</v>
      </c>
      <c r="L27" s="121">
        <v>37382582.390000001</v>
      </c>
      <c r="M27" s="121">
        <v>3738258.24</v>
      </c>
    </row>
    <row r="28" spans="1:13" ht="15.6" thickTop="1" thickBot="1" x14ac:dyDescent="0.35">
      <c r="A28" s="117">
        <f t="shared" si="0"/>
        <v>22</v>
      </c>
      <c r="B28" s="117" t="s">
        <v>318</v>
      </c>
      <c r="C28" s="120" t="s">
        <v>306</v>
      </c>
      <c r="D28" s="120" t="s">
        <v>133</v>
      </c>
      <c r="E28" s="120">
        <v>198.52</v>
      </c>
      <c r="F28" s="120">
        <v>0</v>
      </c>
      <c r="G28" s="120">
        <v>2</v>
      </c>
      <c r="H28" s="168">
        <v>50670582.280000001</v>
      </c>
      <c r="I28" s="168">
        <v>5067058.2300000004</v>
      </c>
      <c r="J28" s="121">
        <v>41549877.469999999</v>
      </c>
      <c r="K28" s="121">
        <v>4154987.75</v>
      </c>
      <c r="L28" s="121">
        <v>39139984.579999998</v>
      </c>
      <c r="M28" s="121">
        <v>3913998.46</v>
      </c>
    </row>
    <row r="29" spans="1:13" ht="15.6" thickTop="1" thickBot="1" x14ac:dyDescent="0.35">
      <c r="A29" s="117">
        <f t="shared" si="0"/>
        <v>23</v>
      </c>
      <c r="B29" s="117" t="s">
        <v>319</v>
      </c>
      <c r="C29" s="120" t="s">
        <v>306</v>
      </c>
      <c r="D29" s="120" t="s">
        <v>133</v>
      </c>
      <c r="E29" s="120">
        <v>182.82</v>
      </c>
      <c r="F29" s="120">
        <v>0</v>
      </c>
      <c r="G29" s="120">
        <v>2</v>
      </c>
      <c r="H29" s="168">
        <v>42642544.57</v>
      </c>
      <c r="I29" s="168">
        <v>4264254.46</v>
      </c>
      <c r="J29" s="121">
        <v>34966886.549999997</v>
      </c>
      <c r="K29" s="121">
        <v>3496688.65</v>
      </c>
      <c r="L29" s="121">
        <v>32938807.129999999</v>
      </c>
      <c r="M29" s="121">
        <v>3293880.71</v>
      </c>
    </row>
    <row r="30" spans="1:13" ht="15.6" thickTop="1" thickBot="1" x14ac:dyDescent="0.35">
      <c r="A30" s="117">
        <f t="shared" si="0"/>
        <v>24</v>
      </c>
      <c r="B30" s="117" t="s">
        <v>320</v>
      </c>
      <c r="C30" s="120" t="s">
        <v>306</v>
      </c>
      <c r="D30" s="120" t="s">
        <v>133</v>
      </c>
      <c r="E30" s="120">
        <v>156.74</v>
      </c>
      <c r="F30" s="120">
        <v>0</v>
      </c>
      <c r="G30" s="120">
        <v>2</v>
      </c>
      <c r="H30" s="168">
        <v>35507533.880000003</v>
      </c>
      <c r="I30" s="168">
        <v>3550753.39</v>
      </c>
      <c r="J30" s="121">
        <v>29116177.780000001</v>
      </c>
      <c r="K30" s="121">
        <v>2911617.78</v>
      </c>
      <c r="L30" s="121">
        <v>27427439.469999999</v>
      </c>
      <c r="M30" s="121">
        <v>2742743.95</v>
      </c>
    </row>
    <row r="31" spans="1:13" ht="15.6" thickTop="1" thickBot="1" x14ac:dyDescent="0.35">
      <c r="A31" s="117">
        <f t="shared" si="0"/>
        <v>25</v>
      </c>
      <c r="B31" s="117" t="s">
        <v>321</v>
      </c>
      <c r="C31" s="120" t="s">
        <v>306</v>
      </c>
      <c r="D31" s="120" t="s">
        <v>133</v>
      </c>
      <c r="E31" s="120">
        <v>134.68</v>
      </c>
      <c r="F31" s="120">
        <v>0</v>
      </c>
      <c r="G31" s="120">
        <v>1</v>
      </c>
      <c r="H31" s="168">
        <v>30510110.129999999</v>
      </c>
      <c r="I31" s="168">
        <v>3051011.01</v>
      </c>
      <c r="J31" s="121">
        <v>25018290.309999999</v>
      </c>
      <c r="K31" s="121">
        <v>2501829.0299999998</v>
      </c>
      <c r="L31" s="121">
        <v>23567229.469999999</v>
      </c>
      <c r="M31" s="121">
        <v>2356722.9500000002</v>
      </c>
    </row>
    <row r="32" spans="1:13" ht="15.6" thickTop="1" thickBot="1" x14ac:dyDescent="0.35">
      <c r="A32" s="117">
        <f t="shared" si="0"/>
        <v>26</v>
      </c>
      <c r="B32" s="117" t="s">
        <v>322</v>
      </c>
      <c r="C32" s="120" t="s">
        <v>306</v>
      </c>
      <c r="D32" s="120" t="s">
        <v>133</v>
      </c>
      <c r="E32" s="120">
        <v>144.54</v>
      </c>
      <c r="F32" s="120">
        <v>0</v>
      </c>
      <c r="G32" s="120">
        <v>1</v>
      </c>
      <c r="H32" s="168">
        <v>32743772.789999999</v>
      </c>
      <c r="I32" s="168">
        <v>3274377.28</v>
      </c>
      <c r="J32" s="121">
        <v>26849893.690000001</v>
      </c>
      <c r="K32" s="121">
        <v>2684989.37</v>
      </c>
      <c r="L32" s="121">
        <v>25292599.850000001</v>
      </c>
      <c r="M32" s="121">
        <v>2529259.9900000002</v>
      </c>
    </row>
    <row r="33" spans="1:13" ht="15.6" thickTop="1" thickBot="1" x14ac:dyDescent="0.35">
      <c r="A33" s="117">
        <f t="shared" si="0"/>
        <v>27</v>
      </c>
      <c r="B33" s="117" t="s">
        <v>323</v>
      </c>
      <c r="C33" s="120" t="s">
        <v>306</v>
      </c>
      <c r="D33" s="120" t="s">
        <v>133</v>
      </c>
      <c r="E33" s="120">
        <v>277.54000000000002</v>
      </c>
      <c r="F33" s="120">
        <v>0</v>
      </c>
      <c r="G33" s="120">
        <v>3</v>
      </c>
      <c r="H33" s="168">
        <v>70057501.620000005</v>
      </c>
      <c r="I33" s="168">
        <v>7005750.1600000001</v>
      </c>
      <c r="J33" s="121">
        <v>57447151.329999998</v>
      </c>
      <c r="K33" s="121">
        <v>5744715.1299999999</v>
      </c>
      <c r="L33" s="121">
        <v>54115216.549999997</v>
      </c>
      <c r="M33" s="121">
        <v>5411521.6600000001</v>
      </c>
    </row>
    <row r="34" spans="1:13" ht="15.6" thickTop="1" thickBot="1" x14ac:dyDescent="0.35">
      <c r="A34" s="117">
        <f t="shared" ref="A34:A47" si="1">ROW()-6</f>
        <v>28</v>
      </c>
      <c r="B34" s="117" t="s">
        <v>324</v>
      </c>
      <c r="C34" s="117" t="s">
        <v>306</v>
      </c>
      <c r="D34" s="117" t="s">
        <v>134</v>
      </c>
      <c r="E34" s="117">
        <v>254.05</v>
      </c>
      <c r="F34" s="117">
        <v>0</v>
      </c>
      <c r="G34" s="117">
        <v>3</v>
      </c>
      <c r="H34" s="168">
        <v>65355632.75</v>
      </c>
      <c r="I34" s="121">
        <v>6535563.2800000003</v>
      </c>
      <c r="J34" s="121">
        <v>53591618.859999999</v>
      </c>
      <c r="K34" s="121">
        <v>5359161.8899999997</v>
      </c>
      <c r="L34" s="121">
        <v>50483304.960000001</v>
      </c>
      <c r="M34" s="121">
        <v>5048330.5</v>
      </c>
    </row>
    <row r="35" spans="1:13" ht="15.6" thickTop="1" thickBot="1" x14ac:dyDescent="0.35">
      <c r="A35" s="117">
        <f t="shared" si="1"/>
        <v>29</v>
      </c>
      <c r="B35" s="117" t="s">
        <v>325</v>
      </c>
      <c r="C35" s="117" t="s">
        <v>306</v>
      </c>
      <c r="D35" s="117" t="s">
        <v>134</v>
      </c>
      <c r="E35" s="117">
        <v>166.73</v>
      </c>
      <c r="F35" s="117">
        <v>0</v>
      </c>
      <c r="G35" s="117">
        <v>2</v>
      </c>
      <c r="H35" s="168">
        <v>40967575.100000001</v>
      </c>
      <c r="I35" s="121">
        <v>4096757.51</v>
      </c>
      <c r="J35" s="121">
        <v>33593411.579999998</v>
      </c>
      <c r="K35" s="121">
        <v>3359341.16</v>
      </c>
      <c r="L35" s="121">
        <v>31644993.710000001</v>
      </c>
      <c r="M35" s="121">
        <v>3164499.37</v>
      </c>
    </row>
    <row r="36" spans="1:13" ht="15.6" thickTop="1" thickBot="1" x14ac:dyDescent="0.35">
      <c r="A36" s="117">
        <f t="shared" si="1"/>
        <v>30</v>
      </c>
      <c r="B36" s="117" t="s">
        <v>326</v>
      </c>
      <c r="C36" s="117" t="s">
        <v>306</v>
      </c>
      <c r="D36" s="117" t="s">
        <v>134</v>
      </c>
      <c r="E36" s="117">
        <v>196.96</v>
      </c>
      <c r="F36" s="117">
        <v>0</v>
      </c>
      <c r="G36" s="117">
        <v>2</v>
      </c>
      <c r="H36" s="168">
        <v>48395451.280000001</v>
      </c>
      <c r="I36" s="121">
        <v>4839545.13</v>
      </c>
      <c r="J36" s="121">
        <v>39684270.049999997</v>
      </c>
      <c r="K36" s="121">
        <v>3968427</v>
      </c>
      <c r="L36" s="121">
        <v>37382582.390000001</v>
      </c>
      <c r="M36" s="121">
        <v>3738258.24</v>
      </c>
    </row>
    <row r="37" spans="1:13" ht="15.6" thickTop="1" thickBot="1" x14ac:dyDescent="0.35">
      <c r="A37" s="117">
        <f t="shared" si="1"/>
        <v>31</v>
      </c>
      <c r="B37" s="117" t="s">
        <v>463</v>
      </c>
      <c r="C37" s="117" t="s">
        <v>306</v>
      </c>
      <c r="D37" s="117" t="s">
        <v>134</v>
      </c>
      <c r="E37" s="117">
        <v>147.27000000000001</v>
      </c>
      <c r="F37" s="117">
        <v>0</v>
      </c>
      <c r="G37" s="117">
        <v>1</v>
      </c>
      <c r="H37" s="168">
        <v>36186018.020000003</v>
      </c>
      <c r="I37" s="121">
        <v>3618601.8</v>
      </c>
      <c r="J37" s="121">
        <v>29672534.780000001</v>
      </c>
      <c r="K37" s="121">
        <v>2967253.48</v>
      </c>
      <c r="L37" s="121">
        <v>27951527.760000002</v>
      </c>
      <c r="M37" s="121">
        <v>2795152.78</v>
      </c>
    </row>
    <row r="38" spans="1:13" ht="15.6" thickTop="1" thickBot="1" x14ac:dyDescent="0.35">
      <c r="A38" s="117">
        <f t="shared" si="1"/>
        <v>32</v>
      </c>
      <c r="B38" s="117" t="s">
        <v>464</v>
      </c>
      <c r="C38" s="117" t="s">
        <v>306</v>
      </c>
      <c r="D38" s="117" t="s">
        <v>134</v>
      </c>
      <c r="E38" s="117">
        <v>173.99</v>
      </c>
      <c r="F38" s="117">
        <v>0</v>
      </c>
      <c r="G38" s="117">
        <v>2</v>
      </c>
      <c r="H38" s="168">
        <v>44409503.380000003</v>
      </c>
      <c r="I38" s="121">
        <v>4440950.34</v>
      </c>
      <c r="J38" s="121">
        <v>36415792.770000003</v>
      </c>
      <c r="K38" s="121">
        <v>3641579.28</v>
      </c>
      <c r="L38" s="121">
        <v>34303676.789999999</v>
      </c>
      <c r="M38" s="121">
        <v>3430367.68</v>
      </c>
    </row>
    <row r="39" spans="1:13" ht="15.6" thickTop="1" thickBot="1" x14ac:dyDescent="0.35">
      <c r="A39" s="117">
        <f t="shared" si="1"/>
        <v>33</v>
      </c>
      <c r="B39" s="117" t="s">
        <v>327</v>
      </c>
      <c r="C39" s="117" t="s">
        <v>306</v>
      </c>
      <c r="D39" s="117" t="s">
        <v>134</v>
      </c>
      <c r="E39" s="117">
        <v>149.47</v>
      </c>
      <c r="F39" s="117">
        <v>0</v>
      </c>
      <c r="G39" s="117">
        <v>2</v>
      </c>
      <c r="H39" s="168">
        <v>34863697.280000001</v>
      </c>
      <c r="I39" s="121">
        <v>3486369.73</v>
      </c>
      <c r="J39" s="121">
        <v>28588231.77</v>
      </c>
      <c r="K39" s="121">
        <v>2858823.18</v>
      </c>
      <c r="L39" s="121">
        <v>26930114.329999998</v>
      </c>
      <c r="M39" s="121">
        <v>2693011.43</v>
      </c>
    </row>
    <row r="40" spans="1:13" ht="15.6" thickTop="1" thickBot="1" x14ac:dyDescent="0.35">
      <c r="A40" s="117">
        <f t="shared" si="1"/>
        <v>34</v>
      </c>
      <c r="B40" s="117" t="s">
        <v>328</v>
      </c>
      <c r="C40" s="117" t="s">
        <v>306</v>
      </c>
      <c r="D40" s="117" t="s">
        <v>134</v>
      </c>
      <c r="E40" s="117">
        <v>141.94999999999999</v>
      </c>
      <c r="F40" s="117">
        <v>0</v>
      </c>
      <c r="G40" s="117">
        <v>1</v>
      </c>
      <c r="H40" s="168">
        <v>32157039.899999999</v>
      </c>
      <c r="I40" s="121">
        <v>3215703.99</v>
      </c>
      <c r="J40" s="121">
        <v>26368772.719999999</v>
      </c>
      <c r="K40" s="121">
        <v>2636877.27</v>
      </c>
      <c r="L40" s="121">
        <v>24839383.899999999</v>
      </c>
      <c r="M40" s="121">
        <v>2483938.39</v>
      </c>
    </row>
    <row r="41" spans="1:13" ht="15.6" thickTop="1" thickBot="1" x14ac:dyDescent="0.35">
      <c r="A41" s="117">
        <f t="shared" si="1"/>
        <v>35</v>
      </c>
      <c r="B41" s="117" t="s">
        <v>329</v>
      </c>
      <c r="C41" s="117" t="s">
        <v>306</v>
      </c>
      <c r="D41" s="117" t="s">
        <v>134</v>
      </c>
      <c r="E41" s="117">
        <v>134.68</v>
      </c>
      <c r="F41" s="117">
        <v>0</v>
      </c>
      <c r="G41" s="117">
        <v>1</v>
      </c>
      <c r="H41" s="168">
        <v>30510110.129999999</v>
      </c>
      <c r="I41" s="121">
        <v>3051011.01</v>
      </c>
      <c r="J41" s="121">
        <v>25018290.309999999</v>
      </c>
      <c r="K41" s="121">
        <v>2501829.0299999998</v>
      </c>
      <c r="L41" s="121">
        <v>23567229.469999999</v>
      </c>
      <c r="M41" s="121">
        <v>2356722.9500000002</v>
      </c>
    </row>
    <row r="42" spans="1:13" ht="15.6" thickTop="1" thickBot="1" x14ac:dyDescent="0.35">
      <c r="A42" s="117">
        <f t="shared" si="1"/>
        <v>36</v>
      </c>
      <c r="B42" s="117" t="s">
        <v>330</v>
      </c>
      <c r="C42" s="117" t="s">
        <v>306</v>
      </c>
      <c r="D42" s="117" t="s">
        <v>134</v>
      </c>
      <c r="E42" s="117">
        <v>144.54</v>
      </c>
      <c r="F42" s="117">
        <v>0</v>
      </c>
      <c r="G42" s="117">
        <v>1</v>
      </c>
      <c r="H42" s="168">
        <v>32743772.789999999</v>
      </c>
      <c r="I42" s="121">
        <v>3274377.28</v>
      </c>
      <c r="J42" s="121">
        <v>26849893.690000001</v>
      </c>
      <c r="K42" s="121">
        <v>2684989.37</v>
      </c>
      <c r="L42" s="121">
        <v>25292599.850000001</v>
      </c>
      <c r="M42" s="121">
        <v>2529259.9900000002</v>
      </c>
    </row>
    <row r="43" spans="1:13" ht="15.6" thickTop="1" thickBot="1" x14ac:dyDescent="0.35">
      <c r="A43" s="117">
        <f t="shared" si="1"/>
        <v>37</v>
      </c>
      <c r="B43" s="117" t="s">
        <v>331</v>
      </c>
      <c r="C43" s="117" t="s">
        <v>306</v>
      </c>
      <c r="D43" s="117" t="s">
        <v>134</v>
      </c>
      <c r="E43" s="117">
        <v>277.54000000000002</v>
      </c>
      <c r="F43" s="117">
        <v>0</v>
      </c>
      <c r="G43" s="117">
        <v>3</v>
      </c>
      <c r="H43" s="168">
        <v>70057501.620000005</v>
      </c>
      <c r="I43" s="121">
        <v>7005750.1600000001</v>
      </c>
      <c r="J43" s="121">
        <v>57447151.329999998</v>
      </c>
      <c r="K43" s="121">
        <v>5744715.1299999999</v>
      </c>
      <c r="L43" s="121">
        <v>54115216.549999997</v>
      </c>
      <c r="M43" s="121">
        <v>5411521.6600000001</v>
      </c>
    </row>
    <row r="44" spans="1:13" ht="15.6" thickTop="1" thickBot="1" x14ac:dyDescent="0.35">
      <c r="A44" s="117">
        <f>ROW()-6</f>
        <v>38</v>
      </c>
      <c r="B44" s="117" t="s">
        <v>479</v>
      </c>
      <c r="C44" s="117" t="s">
        <v>306</v>
      </c>
      <c r="D44" s="117" t="s">
        <v>132</v>
      </c>
      <c r="E44" s="117">
        <v>155.69999999999999</v>
      </c>
      <c r="F44" s="117">
        <v>0</v>
      </c>
      <c r="G44" s="117">
        <v>2</v>
      </c>
      <c r="H44" s="168">
        <v>38257370.859999999</v>
      </c>
      <c r="I44" s="121">
        <v>3825737.09</v>
      </c>
      <c r="J44" s="121">
        <v>31371044.109999999</v>
      </c>
      <c r="K44" s="121">
        <v>3137104.41</v>
      </c>
      <c r="L44" s="121">
        <v>29551523.550000001</v>
      </c>
      <c r="M44" s="121">
        <v>2955152.35</v>
      </c>
    </row>
    <row r="45" spans="1:13" ht="15.6" thickTop="1" thickBot="1" x14ac:dyDescent="0.35">
      <c r="A45" s="117">
        <f>ROW()-6</f>
        <v>39</v>
      </c>
      <c r="B45" s="117" t="s">
        <v>506</v>
      </c>
      <c r="C45" s="117" t="s">
        <v>306</v>
      </c>
      <c r="D45" s="117" t="s">
        <v>131</v>
      </c>
      <c r="E45" s="117">
        <v>134.03</v>
      </c>
      <c r="F45" s="117">
        <v>0</v>
      </c>
      <c r="G45" s="117">
        <v>1</v>
      </c>
      <c r="H45" s="168">
        <v>30362860.57</v>
      </c>
      <c r="I45" s="121">
        <v>3036286.06</v>
      </c>
      <c r="J45" s="121">
        <v>24897545.670000002</v>
      </c>
      <c r="K45" s="121">
        <v>2489754.5699999998</v>
      </c>
      <c r="L45" s="121">
        <v>23453488.02</v>
      </c>
      <c r="M45" s="121">
        <v>2345348.7999999998</v>
      </c>
    </row>
    <row r="46" spans="1:13" ht="15.6" thickTop="1" thickBot="1" x14ac:dyDescent="0.35">
      <c r="A46" s="117">
        <f t="shared" si="1"/>
        <v>40</v>
      </c>
      <c r="B46" s="117" t="s">
        <v>433</v>
      </c>
      <c r="C46" s="117" t="s">
        <v>349</v>
      </c>
      <c r="D46" s="117" t="s">
        <v>134</v>
      </c>
      <c r="E46" s="117">
        <v>244</v>
      </c>
      <c r="F46" s="117">
        <v>0</v>
      </c>
      <c r="G46" s="117">
        <v>2</v>
      </c>
      <c r="H46" s="168">
        <v>58554868.329999998</v>
      </c>
      <c r="I46" s="121">
        <v>5855486.8300000001</v>
      </c>
      <c r="J46" s="121">
        <v>48014992.030000001</v>
      </c>
      <c r="K46" s="121">
        <v>4801499.2</v>
      </c>
      <c r="L46" s="121">
        <v>45230122.490000002</v>
      </c>
      <c r="M46" s="121">
        <v>4523012.25</v>
      </c>
    </row>
    <row r="47" spans="1:13" ht="15.6" thickTop="1" thickBot="1" x14ac:dyDescent="0.35">
      <c r="A47" s="117">
        <f t="shared" si="1"/>
        <v>41</v>
      </c>
      <c r="B47" s="117" t="s">
        <v>473</v>
      </c>
      <c r="C47" s="117" t="s">
        <v>349</v>
      </c>
      <c r="D47" s="117" t="s">
        <v>134</v>
      </c>
      <c r="E47" s="117">
        <v>147</v>
      </c>
      <c r="F47" s="117">
        <v>0</v>
      </c>
      <c r="G47" s="117">
        <v>1</v>
      </c>
      <c r="H47" s="168">
        <v>36407175</v>
      </c>
      <c r="I47" s="121">
        <v>3640717.5</v>
      </c>
      <c r="J47" s="121">
        <v>29853883.5</v>
      </c>
      <c r="K47" s="121">
        <v>2985388.35</v>
      </c>
      <c r="L47" s="121">
        <v>28122358.260000002</v>
      </c>
      <c r="M47" s="121">
        <v>2812235.83</v>
      </c>
    </row>
    <row r="48" spans="1:13" ht="23.4" customHeight="1" thickTop="1" thickBot="1" x14ac:dyDescent="0.35">
      <c r="A48" s="118"/>
      <c r="B48" s="119"/>
      <c r="C48" s="120"/>
      <c r="D48" s="120"/>
      <c r="E48" s="120"/>
      <c r="F48" s="120"/>
      <c r="G48" s="255"/>
      <c r="H48" s="256"/>
      <c r="I48" s="92"/>
      <c r="J48" s="92"/>
      <c r="K48" s="92"/>
    </row>
    <row r="49" ht="15" thickTop="1" x14ac:dyDescent="0.3"/>
  </sheetData>
  <mergeCells count="4">
    <mergeCell ref="A1:M1"/>
    <mergeCell ref="H5:I5"/>
    <mergeCell ref="L5:M5"/>
    <mergeCell ref="J5:K5"/>
  </mergeCells>
  <phoneticPr fontId="21" type="noConversion"/>
  <conditionalFormatting sqref="A6">
    <cfRule type="duplicateValues" dxfId="266" priority="12"/>
    <cfRule type="duplicateValues" dxfId="265" priority="13"/>
    <cfRule type="duplicateValues" dxfId="264" priority="14"/>
  </conditionalFormatting>
  <conditionalFormatting sqref="B48">
    <cfRule type="duplicateValues" dxfId="263" priority="7"/>
    <cfRule type="duplicateValues" dxfId="262" priority="8"/>
    <cfRule type="duplicateValues" dxfId="261" priority="9"/>
    <cfRule type="duplicateValues" dxfId="260" priority="10"/>
    <cfRule type="duplicateValues" dxfId="259" priority="11"/>
  </conditionalFormatting>
  <conditionalFormatting sqref="B49">
    <cfRule type="duplicateValues" dxfId="258" priority="26"/>
    <cfRule type="duplicateValues" dxfId="257" priority="3241"/>
  </conditionalFormatting>
  <conditionalFormatting sqref="B49:B1048576 B7:B47">
    <cfRule type="duplicateValues" dxfId="256" priority="4767"/>
  </conditionalFormatting>
  <conditionalFormatting sqref="B49:B1048576">
    <cfRule type="duplicateValues" dxfId="255" priority="25"/>
    <cfRule type="duplicateValues" dxfId="254" priority="30"/>
  </conditionalFormatting>
  <conditionalFormatting sqref="B50:B1048576">
    <cfRule type="duplicateValues" dxfId="253" priority="22"/>
    <cfRule type="duplicateValues" dxfId="252" priority="23"/>
    <cfRule type="duplicateValues" dxfId="251" priority="24"/>
    <cfRule type="duplicateValues" dxfId="250" priority="28"/>
    <cfRule type="duplicateValues" dxfId="249" priority="29"/>
  </conditionalFormatting>
  <conditionalFormatting sqref="B6:I6">
    <cfRule type="duplicateValues" dxfId="248" priority="15"/>
    <cfRule type="duplicateValues" dxfId="247" priority="16"/>
    <cfRule type="duplicateValues" dxfId="246" priority="17"/>
  </conditionalFormatting>
  <conditionalFormatting sqref="J6:K6">
    <cfRule type="duplicateValues" dxfId="245" priority="4"/>
    <cfRule type="duplicateValues" dxfId="244" priority="5"/>
    <cfRule type="duplicateValues" dxfId="243" priority="6"/>
  </conditionalFormatting>
  <conditionalFormatting sqref="L6:M6">
    <cfRule type="duplicateValues" dxfId="242" priority="1"/>
    <cfRule type="duplicateValues" dxfId="241" priority="2"/>
    <cfRule type="duplicateValues" dxfId="240" priority="3"/>
  </conditionalFormatting>
  <printOptions horizontalCentered="1"/>
  <pageMargins left="0.25" right="0" top="0.5" bottom="0" header="0" footer="0"/>
  <pageSetup scale="47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8EE8-F5EC-4B16-9375-03A1EDF4360D}">
  <sheetPr>
    <pageSetUpPr fitToPage="1"/>
  </sheetPr>
  <dimension ref="A1:G17"/>
  <sheetViews>
    <sheetView zoomScale="101" workbookViewId="0">
      <selection activeCell="G11" sqref="G11"/>
    </sheetView>
  </sheetViews>
  <sheetFormatPr defaultColWidth="13.6640625" defaultRowHeight="22.5" customHeight="1" x14ac:dyDescent="0.3"/>
  <cols>
    <col min="1" max="1" width="4.33203125" customWidth="1"/>
    <col min="2" max="2" width="19.33203125" customWidth="1"/>
    <col min="3" max="3" width="9.6640625" bestFit="1" customWidth="1"/>
    <col min="4" max="4" width="18.5546875" bestFit="1" customWidth="1"/>
    <col min="5" max="5" width="9.6640625" bestFit="1" customWidth="1"/>
    <col min="6" max="6" width="17" customWidth="1"/>
    <col min="7" max="7" width="17.88671875" bestFit="1" customWidth="1"/>
  </cols>
  <sheetData>
    <row r="1" spans="1:7" ht="35.25" customHeight="1" thickTop="1" thickBot="1" x14ac:dyDescent="0.35">
      <c r="A1" s="321" t="s">
        <v>75</v>
      </c>
      <c r="B1" s="322"/>
      <c r="C1" s="322"/>
      <c r="D1" s="322"/>
      <c r="E1" s="322"/>
      <c r="F1" s="322"/>
      <c r="G1" s="323"/>
    </row>
    <row r="2" spans="1:7" ht="13.5" customHeight="1" thickTop="1" thickBot="1" x14ac:dyDescent="0.35"/>
    <row r="3" spans="1:7" s="3" customFormat="1" ht="22.5" customHeight="1" thickTop="1" thickBot="1" x14ac:dyDescent="0.35">
      <c r="A3" s="40" t="s">
        <v>5</v>
      </c>
      <c r="B3" s="40" t="s">
        <v>11</v>
      </c>
      <c r="C3" s="40" t="s">
        <v>12</v>
      </c>
      <c r="D3" s="40" t="s">
        <v>7</v>
      </c>
      <c r="E3" s="40" t="s">
        <v>3</v>
      </c>
      <c r="F3" s="40" t="s">
        <v>70</v>
      </c>
      <c r="G3" s="40" t="s">
        <v>15</v>
      </c>
    </row>
    <row r="4" spans="1:7" ht="22.5" customHeight="1" thickTop="1" thickBot="1" x14ac:dyDescent="0.35">
      <c r="A4" s="42">
        <v>1</v>
      </c>
      <c r="B4" s="30"/>
      <c r="C4" s="30"/>
      <c r="D4" s="30"/>
      <c r="E4" s="30"/>
      <c r="F4" s="30"/>
      <c r="G4" s="35"/>
    </row>
    <row r="5" spans="1:7" ht="22.5" customHeight="1" thickTop="1" thickBot="1" x14ac:dyDescent="0.35">
      <c r="A5" s="42">
        <v>2</v>
      </c>
      <c r="B5" s="30"/>
      <c r="C5" s="30"/>
      <c r="D5" s="30"/>
      <c r="E5" s="30"/>
      <c r="F5" s="30"/>
      <c r="G5" s="35"/>
    </row>
    <row r="6" spans="1:7" ht="22.5" customHeight="1" thickTop="1" thickBot="1" x14ac:dyDescent="0.35">
      <c r="A6" s="42">
        <v>3</v>
      </c>
      <c r="B6" s="30"/>
      <c r="C6" s="30"/>
      <c r="D6" s="30"/>
      <c r="E6" s="30"/>
      <c r="F6" s="30"/>
      <c r="G6" s="35"/>
    </row>
    <row r="7" spans="1:7" ht="22.5" customHeight="1" thickTop="1" thickBot="1" x14ac:dyDescent="0.35">
      <c r="A7" s="42">
        <v>4</v>
      </c>
      <c r="B7" s="30"/>
      <c r="C7" s="30"/>
      <c r="D7" s="30"/>
      <c r="E7" s="30"/>
      <c r="F7" s="30"/>
      <c r="G7" s="35"/>
    </row>
    <row r="8" spans="1:7" ht="22.5" customHeight="1" thickTop="1" thickBot="1" x14ac:dyDescent="0.35">
      <c r="A8" s="42">
        <v>5</v>
      </c>
      <c r="B8" s="30"/>
      <c r="C8" s="30"/>
      <c r="D8" s="30"/>
      <c r="E8" s="30"/>
      <c r="F8" s="30"/>
      <c r="G8" s="35"/>
    </row>
    <row r="9" spans="1:7" ht="22.5" customHeight="1" thickTop="1" thickBot="1" x14ac:dyDescent="0.35">
      <c r="A9" s="42">
        <v>6</v>
      </c>
      <c r="B9" s="30"/>
      <c r="C9" s="30"/>
      <c r="D9" s="30"/>
      <c r="E9" s="30"/>
      <c r="F9" s="30"/>
      <c r="G9" s="35"/>
    </row>
    <row r="10" spans="1:7" ht="22.5" customHeight="1" thickTop="1" thickBot="1" x14ac:dyDescent="0.35">
      <c r="A10" s="42">
        <v>7</v>
      </c>
      <c r="B10" s="30"/>
      <c r="C10" s="30"/>
      <c r="D10" s="30"/>
      <c r="E10" s="30"/>
      <c r="F10" s="30"/>
      <c r="G10" s="35"/>
    </row>
    <row r="11" spans="1:7" ht="22.5" customHeight="1" thickTop="1" thickBot="1" x14ac:dyDescent="0.35">
      <c r="A11" s="42">
        <v>8</v>
      </c>
      <c r="B11" s="30"/>
      <c r="C11" s="30"/>
      <c r="D11" s="30"/>
      <c r="E11" s="30"/>
      <c r="F11" s="30"/>
      <c r="G11" s="35"/>
    </row>
    <row r="12" spans="1:7" ht="22.5" customHeight="1" thickTop="1" thickBot="1" x14ac:dyDescent="0.35">
      <c r="A12" s="42">
        <v>9</v>
      </c>
      <c r="B12" s="30"/>
      <c r="C12" s="30"/>
      <c r="D12" s="30"/>
      <c r="E12" s="30"/>
      <c r="F12" s="30"/>
      <c r="G12" s="35"/>
    </row>
    <row r="13" spans="1:7" ht="22.5" customHeight="1" thickTop="1" thickBot="1" x14ac:dyDescent="0.35">
      <c r="A13" s="42">
        <v>10</v>
      </c>
      <c r="B13" s="30"/>
      <c r="C13" s="30"/>
      <c r="D13" s="30"/>
      <c r="E13" s="30"/>
      <c r="F13" s="30"/>
      <c r="G13" s="35"/>
    </row>
    <row r="14" spans="1:7" ht="22.5" customHeight="1" thickTop="1" thickBot="1" x14ac:dyDescent="0.35">
      <c r="A14" s="42">
        <v>11</v>
      </c>
      <c r="B14" s="30"/>
      <c r="C14" s="30"/>
      <c r="D14" s="30"/>
      <c r="E14" s="30"/>
      <c r="F14" s="30"/>
      <c r="G14" s="35"/>
    </row>
    <row r="15" spans="1:7" ht="22.5" customHeight="1" thickTop="1" thickBot="1" x14ac:dyDescent="0.35">
      <c r="A15" s="42">
        <v>12</v>
      </c>
      <c r="B15" s="30"/>
      <c r="C15" s="30"/>
      <c r="D15" s="30"/>
      <c r="E15" s="30"/>
      <c r="F15" s="30"/>
      <c r="G15" s="35"/>
    </row>
    <row r="16" spans="1:7" ht="22.5" customHeight="1" thickTop="1" thickBot="1" x14ac:dyDescent="0.35">
      <c r="A16" s="42"/>
      <c r="B16" s="74">
        <f>COUNTA(B4:B15)</f>
        <v>0</v>
      </c>
      <c r="C16" s="44"/>
      <c r="D16" s="44"/>
      <c r="E16" s="44"/>
      <c r="F16" s="44"/>
      <c r="G16" s="75">
        <f>SUM(G4:G15)</f>
        <v>0</v>
      </c>
    </row>
    <row r="17" ht="22.5" customHeight="1" thickTop="1" x14ac:dyDescent="0.3"/>
  </sheetData>
  <mergeCells count="1">
    <mergeCell ref="A1:G1"/>
  </mergeCells>
  <conditionalFormatting sqref="B1:B1048576">
    <cfRule type="duplicateValues" dxfId="239" priority="1"/>
  </conditionalFormatting>
  <conditionalFormatting sqref="B18:B1048576">
    <cfRule type="duplicateValues" dxfId="238" priority="2"/>
  </conditionalFormatting>
  <pageMargins left="0.25" right="0.25" top="0.75" bottom="0.75" header="0.3" footer="0.3"/>
  <pageSetup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6D77-0BB7-41D4-AD0C-24DC4246F09E}">
  <dimension ref="A1:R380"/>
  <sheetViews>
    <sheetView view="pageBreakPreview" topLeftCell="A2" zoomScale="68" zoomScaleNormal="70" zoomScaleSheetLayoutView="61" workbookViewId="0">
      <selection activeCell="P11" sqref="P11"/>
    </sheetView>
  </sheetViews>
  <sheetFormatPr defaultColWidth="13.6640625" defaultRowHeight="22.5" customHeight="1" x14ac:dyDescent="0.3"/>
  <cols>
    <col min="1" max="1" width="5.33203125" customWidth="1"/>
    <col min="2" max="2" width="22.6640625" style="113" customWidth="1"/>
    <col min="3" max="3" width="16.77734375" style="113" customWidth="1"/>
    <col min="4" max="4" width="25.109375" style="113" customWidth="1"/>
    <col min="5" max="5" width="16" style="113" customWidth="1"/>
    <col min="6" max="6" width="15.109375" customWidth="1"/>
    <col min="7" max="7" width="13.88671875" customWidth="1"/>
    <col min="8" max="8" width="15.33203125" bestFit="1" customWidth="1"/>
    <col min="9" max="9" width="17.5546875" customWidth="1"/>
    <col min="10" max="10" width="26.6640625" customWidth="1"/>
    <col min="11" max="11" width="21.88671875" customWidth="1"/>
    <col min="12" max="12" width="24.109375" hidden="1" customWidth="1"/>
    <col min="13" max="13" width="19.21875" hidden="1" customWidth="1"/>
    <col min="15" max="15" width="15.44140625" bestFit="1" customWidth="1"/>
    <col min="16" max="16" width="16.109375" bestFit="1" customWidth="1"/>
    <col min="18" max="18" width="17.109375" customWidth="1"/>
    <col min="19" max="19" width="25.21875" customWidth="1"/>
  </cols>
  <sheetData>
    <row r="1" spans="1:18" ht="40.799999999999997" customHeight="1" thickBot="1" x14ac:dyDescent="0.35">
      <c r="A1" s="325" t="s">
        <v>360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</row>
    <row r="2" spans="1:18" ht="13.5" customHeight="1" x14ac:dyDescent="0.3">
      <c r="A2" s="324"/>
      <c r="B2" s="324"/>
      <c r="C2" s="324"/>
      <c r="D2" s="324"/>
      <c r="E2" s="324"/>
      <c r="F2" s="324"/>
      <c r="G2" s="324"/>
      <c r="H2" s="115"/>
      <c r="I2" s="115"/>
      <c r="J2" s="115"/>
    </row>
    <row r="3" spans="1:18" s="3" customFormat="1" ht="35.4" customHeight="1" thickBot="1" x14ac:dyDescent="0.35">
      <c r="A3" s="99" t="s">
        <v>5</v>
      </c>
      <c r="B3" s="112" t="s">
        <v>6</v>
      </c>
      <c r="C3" s="112" t="s">
        <v>12</v>
      </c>
      <c r="D3" s="112" t="s">
        <v>65</v>
      </c>
      <c r="E3" s="112" t="s">
        <v>354</v>
      </c>
      <c r="F3" s="112" t="s">
        <v>45</v>
      </c>
      <c r="G3" s="112" t="s">
        <v>140</v>
      </c>
      <c r="H3" s="112" t="s">
        <v>355</v>
      </c>
      <c r="I3" s="112" t="s">
        <v>356</v>
      </c>
      <c r="J3" s="238" t="s">
        <v>357</v>
      </c>
      <c r="K3" s="239" t="s">
        <v>255</v>
      </c>
      <c r="L3" s="239" t="s">
        <v>358</v>
      </c>
      <c r="M3" s="239" t="s">
        <v>256</v>
      </c>
    </row>
    <row r="4" spans="1:18" ht="22.5" customHeight="1" thickTop="1" thickBot="1" x14ac:dyDescent="0.35">
      <c r="A4" s="114">
        <f t="shared" ref="A4:A21" si="0">ROW()-3</f>
        <v>1</v>
      </c>
      <c r="B4" s="143" t="s">
        <v>350</v>
      </c>
      <c r="C4" s="30">
        <v>901</v>
      </c>
      <c r="D4" s="30" t="s">
        <v>258</v>
      </c>
      <c r="E4" s="30" t="s">
        <v>353</v>
      </c>
      <c r="F4" s="142">
        <v>301</v>
      </c>
      <c r="G4" s="143">
        <v>643</v>
      </c>
      <c r="H4" s="143">
        <v>0</v>
      </c>
      <c r="I4" s="143">
        <v>0</v>
      </c>
      <c r="J4" s="236">
        <v>66258919.130000003</v>
      </c>
      <c r="K4" s="185">
        <v>3312945.96</v>
      </c>
      <c r="L4" s="185">
        <v>74209989.420000002</v>
      </c>
      <c r="M4" s="185">
        <v>3710499.47</v>
      </c>
    </row>
    <row r="5" spans="1:18" ht="22.5" customHeight="1" thickTop="1" thickBot="1" x14ac:dyDescent="0.35">
      <c r="A5" s="114">
        <f t="shared" si="0"/>
        <v>2</v>
      </c>
      <c r="B5" s="143" t="s">
        <v>423</v>
      </c>
      <c r="C5" s="30">
        <v>1105</v>
      </c>
      <c r="D5" s="30" t="s">
        <v>424</v>
      </c>
      <c r="E5" s="30" t="s">
        <v>237</v>
      </c>
      <c r="F5" s="142">
        <v>335</v>
      </c>
      <c r="G5" s="143">
        <v>542.78</v>
      </c>
      <c r="H5" s="143">
        <v>0</v>
      </c>
      <c r="I5" s="143">
        <v>0</v>
      </c>
      <c r="J5" s="236">
        <v>51145024.5</v>
      </c>
      <c r="K5" s="185">
        <v>2557251.2200000002</v>
      </c>
      <c r="L5" s="185"/>
      <c r="M5" s="185"/>
    </row>
    <row r="6" spans="1:18" ht="22.5" customHeight="1" thickTop="1" thickBot="1" x14ac:dyDescent="0.35">
      <c r="A6" s="114">
        <f t="shared" si="0"/>
        <v>3</v>
      </c>
      <c r="B6" s="143" t="s">
        <v>105</v>
      </c>
      <c r="C6" s="30">
        <v>3001</v>
      </c>
      <c r="D6" s="30" t="s">
        <v>257</v>
      </c>
      <c r="E6" s="30" t="s">
        <v>143</v>
      </c>
      <c r="F6" s="142">
        <v>260</v>
      </c>
      <c r="G6" s="143">
        <v>532.25</v>
      </c>
      <c r="H6" s="143">
        <v>0</v>
      </c>
      <c r="I6" s="143">
        <v>0</v>
      </c>
      <c r="J6" s="236">
        <v>49954097.130000003</v>
      </c>
      <c r="K6" s="185">
        <v>2497704.86</v>
      </c>
      <c r="L6" s="185">
        <v>55948588.780000001</v>
      </c>
      <c r="M6" s="185">
        <v>2797429.44</v>
      </c>
    </row>
    <row r="7" spans="1:18" ht="22.5" customHeight="1" thickTop="1" thickBot="1" x14ac:dyDescent="0.35">
      <c r="A7" s="114">
        <f t="shared" si="0"/>
        <v>4</v>
      </c>
      <c r="B7" s="143" t="s">
        <v>106</v>
      </c>
      <c r="C7" s="30">
        <v>3001</v>
      </c>
      <c r="D7" s="30" t="s">
        <v>257</v>
      </c>
      <c r="E7" s="30" t="s">
        <v>145</v>
      </c>
      <c r="F7" s="142">
        <v>265</v>
      </c>
      <c r="G7" s="143">
        <v>521.13</v>
      </c>
      <c r="H7" s="143">
        <v>0</v>
      </c>
      <c r="I7" s="143">
        <v>0</v>
      </c>
      <c r="J7" s="236">
        <v>49368277.439999998</v>
      </c>
      <c r="K7" s="185">
        <v>2468413.87</v>
      </c>
      <c r="L7" s="185">
        <v>55292470.740000002</v>
      </c>
      <c r="M7" s="185">
        <v>2764623.54</v>
      </c>
    </row>
    <row r="8" spans="1:18" ht="22.5" customHeight="1" thickTop="1" thickBot="1" x14ac:dyDescent="0.35">
      <c r="A8" s="114">
        <f t="shared" si="0"/>
        <v>5</v>
      </c>
      <c r="B8" s="143" t="s">
        <v>107</v>
      </c>
      <c r="C8" s="30">
        <v>3002</v>
      </c>
      <c r="D8" s="30" t="s">
        <v>257</v>
      </c>
      <c r="E8" s="30" t="s">
        <v>143</v>
      </c>
      <c r="F8" s="142">
        <v>260</v>
      </c>
      <c r="G8" s="143">
        <v>478.81</v>
      </c>
      <c r="H8" s="143">
        <v>0</v>
      </c>
      <c r="I8" s="143">
        <v>0</v>
      </c>
      <c r="J8" s="236">
        <v>47425539.659999996</v>
      </c>
      <c r="K8" s="185">
        <v>2371276.98</v>
      </c>
      <c r="L8" s="185">
        <v>53116604.409999996</v>
      </c>
      <c r="M8" s="185">
        <v>2655830.2200000002</v>
      </c>
    </row>
    <row r="9" spans="1:18" ht="22.5" customHeight="1" thickTop="1" thickBot="1" x14ac:dyDescent="0.35">
      <c r="A9" s="114">
        <f t="shared" si="0"/>
        <v>6</v>
      </c>
      <c r="B9" s="143" t="s">
        <v>108</v>
      </c>
      <c r="C9" s="30">
        <v>3002</v>
      </c>
      <c r="D9" s="30" t="s">
        <v>257</v>
      </c>
      <c r="E9" s="30" t="s">
        <v>145</v>
      </c>
      <c r="F9" s="142">
        <v>265</v>
      </c>
      <c r="G9" s="143">
        <v>457.92</v>
      </c>
      <c r="H9" s="143">
        <v>0</v>
      </c>
      <c r="I9" s="143">
        <v>0</v>
      </c>
      <c r="J9" s="236">
        <v>46094576.859999999</v>
      </c>
      <c r="K9" s="185">
        <v>2304728.84</v>
      </c>
      <c r="L9" s="185">
        <v>51625926.079999998</v>
      </c>
      <c r="M9" s="185">
        <v>2581296.2999999998</v>
      </c>
    </row>
    <row r="10" spans="1:18" ht="22.5" customHeight="1" thickTop="1" thickBot="1" x14ac:dyDescent="0.35">
      <c r="A10" s="114">
        <f t="shared" si="0"/>
        <v>7</v>
      </c>
      <c r="B10" s="143" t="s">
        <v>346</v>
      </c>
      <c r="C10" s="30">
        <v>3004</v>
      </c>
      <c r="D10" s="30" t="s">
        <v>257</v>
      </c>
      <c r="E10" s="30" t="s">
        <v>145</v>
      </c>
      <c r="F10" s="142">
        <v>265</v>
      </c>
      <c r="G10" s="143">
        <v>446.5</v>
      </c>
      <c r="H10" s="143">
        <v>0</v>
      </c>
      <c r="I10" s="143">
        <v>0</v>
      </c>
      <c r="J10" s="236">
        <v>44695114.939999998</v>
      </c>
      <c r="K10" s="185">
        <v>2234755.75</v>
      </c>
      <c r="L10" s="185">
        <v>50058528.729999997</v>
      </c>
      <c r="M10" s="185">
        <v>2502926.44</v>
      </c>
    </row>
    <row r="11" spans="1:18" ht="22.5" customHeight="1" thickTop="1" thickBot="1" x14ac:dyDescent="0.35">
      <c r="A11" s="114">
        <f t="shared" si="0"/>
        <v>8</v>
      </c>
      <c r="B11" s="143" t="s">
        <v>351</v>
      </c>
      <c r="C11" s="30">
        <v>3005</v>
      </c>
      <c r="D11" s="30" t="s">
        <v>257</v>
      </c>
      <c r="E11" s="30" t="s">
        <v>143</v>
      </c>
      <c r="F11" s="142">
        <v>260</v>
      </c>
      <c r="G11" s="143">
        <v>441.57</v>
      </c>
      <c r="H11" s="143">
        <v>0</v>
      </c>
      <c r="I11" s="143">
        <v>0</v>
      </c>
      <c r="J11" s="236">
        <v>44109077.869999997</v>
      </c>
      <c r="K11" s="185">
        <v>2205453.89</v>
      </c>
      <c r="L11" s="185">
        <v>49402167.210000001</v>
      </c>
      <c r="M11" s="185">
        <v>2470108.36</v>
      </c>
    </row>
    <row r="12" spans="1:18" ht="22.2" customHeight="1" thickTop="1" thickBot="1" x14ac:dyDescent="0.35">
      <c r="A12" s="114">
        <f t="shared" si="0"/>
        <v>9</v>
      </c>
      <c r="B12" s="143" t="s">
        <v>332</v>
      </c>
      <c r="C12" s="30">
        <v>4005</v>
      </c>
      <c r="D12" s="30" t="s">
        <v>120</v>
      </c>
      <c r="E12" s="30" t="s">
        <v>142</v>
      </c>
      <c r="F12" s="182">
        <v>300</v>
      </c>
      <c r="G12" s="143">
        <v>610.79999999999995</v>
      </c>
      <c r="H12" s="143">
        <v>0</v>
      </c>
      <c r="I12" s="143">
        <v>0</v>
      </c>
      <c r="J12" s="236">
        <v>61229632.520000003</v>
      </c>
      <c r="K12" s="185">
        <v>3061481.63</v>
      </c>
      <c r="L12" s="185">
        <v>68577188.430000007</v>
      </c>
      <c r="M12" s="185">
        <v>3428859.42</v>
      </c>
    </row>
    <row r="13" spans="1:18" ht="22.2" customHeight="1" thickTop="1" thickBot="1" x14ac:dyDescent="0.35">
      <c r="A13" s="114">
        <f t="shared" si="0"/>
        <v>10</v>
      </c>
      <c r="B13" s="143" t="s">
        <v>334</v>
      </c>
      <c r="C13" s="30">
        <v>4008</v>
      </c>
      <c r="D13" s="30" t="s">
        <v>120</v>
      </c>
      <c r="E13" s="30" t="s">
        <v>142</v>
      </c>
      <c r="F13" s="182">
        <v>300</v>
      </c>
      <c r="G13" s="143">
        <v>792</v>
      </c>
      <c r="H13" s="143">
        <v>0</v>
      </c>
      <c r="I13" s="143">
        <v>0</v>
      </c>
      <c r="J13" s="236">
        <v>64572079.609999999</v>
      </c>
      <c r="K13" s="185">
        <v>3228603.98</v>
      </c>
      <c r="L13" s="185">
        <v>72320729.170000002</v>
      </c>
      <c r="M13" s="185">
        <v>3616036.46</v>
      </c>
    </row>
    <row r="14" spans="1:18" s="113" customFormat="1" ht="22.5" customHeight="1" thickTop="1" thickBot="1" x14ac:dyDescent="0.35">
      <c r="A14" s="186">
        <f t="shared" si="0"/>
        <v>11</v>
      </c>
      <c r="B14" s="187" t="s">
        <v>260</v>
      </c>
      <c r="C14" s="30">
        <v>5012</v>
      </c>
      <c r="D14" s="32" t="s">
        <v>120</v>
      </c>
      <c r="E14" s="32" t="s">
        <v>259</v>
      </c>
      <c r="F14" s="188">
        <v>606</v>
      </c>
      <c r="G14" s="187">
        <v>862</v>
      </c>
      <c r="H14" s="187">
        <v>0</v>
      </c>
      <c r="I14" s="187">
        <v>330</v>
      </c>
      <c r="J14" s="237">
        <v>115154196.67</v>
      </c>
      <c r="K14" s="189">
        <v>5757709.8300000001</v>
      </c>
      <c r="L14" s="189">
        <v>128972700.27</v>
      </c>
      <c r="M14" s="189">
        <v>6448635.0099999998</v>
      </c>
    </row>
    <row r="15" spans="1:18" ht="22.2" customHeight="1" thickTop="1" thickBot="1" x14ac:dyDescent="0.35">
      <c r="A15" s="114">
        <f t="shared" si="0"/>
        <v>12</v>
      </c>
      <c r="B15" s="143" t="s">
        <v>352</v>
      </c>
      <c r="C15" s="30">
        <v>5001</v>
      </c>
      <c r="D15" s="30" t="s">
        <v>258</v>
      </c>
      <c r="E15" s="30" t="s">
        <v>333</v>
      </c>
      <c r="F15" s="182">
        <v>418</v>
      </c>
      <c r="G15" s="182">
        <v>751</v>
      </c>
      <c r="H15" s="143">
        <v>0</v>
      </c>
      <c r="I15" s="143">
        <v>0</v>
      </c>
      <c r="J15" s="236">
        <v>64337483.869999997</v>
      </c>
      <c r="K15" s="185">
        <v>3216874.19</v>
      </c>
      <c r="L15" s="185">
        <v>72057981.930000007</v>
      </c>
      <c r="M15" s="185">
        <v>3602899.1</v>
      </c>
    </row>
    <row r="16" spans="1:18" ht="22.5" customHeight="1" thickTop="1" thickBot="1" x14ac:dyDescent="0.35">
      <c r="A16" s="114">
        <f t="shared" si="0"/>
        <v>13</v>
      </c>
      <c r="B16" s="143" t="s">
        <v>379</v>
      </c>
      <c r="C16" s="30">
        <v>7006</v>
      </c>
      <c r="D16" s="30" t="s">
        <v>258</v>
      </c>
      <c r="E16" s="30" t="s">
        <v>380</v>
      </c>
      <c r="F16" s="182">
        <v>565</v>
      </c>
      <c r="G16" s="143">
        <v>1260.55</v>
      </c>
      <c r="H16" s="143">
        <v>0</v>
      </c>
      <c r="I16" s="143">
        <v>0</v>
      </c>
      <c r="J16" s="236">
        <v>126216131.14</v>
      </c>
      <c r="K16" s="185">
        <v>6310806.5599999996</v>
      </c>
      <c r="L16" s="185">
        <v>141362066.88</v>
      </c>
      <c r="M16" s="185">
        <v>7068103.3399999999</v>
      </c>
      <c r="P16" s="229"/>
      <c r="R16" s="229"/>
    </row>
    <row r="17" spans="1:18" ht="22.5" customHeight="1" thickTop="1" thickBot="1" x14ac:dyDescent="0.35">
      <c r="A17" s="114">
        <f t="shared" si="0"/>
        <v>14</v>
      </c>
      <c r="B17" s="143" t="s">
        <v>381</v>
      </c>
      <c r="C17" s="30">
        <v>7007</v>
      </c>
      <c r="D17" s="30" t="s">
        <v>258</v>
      </c>
      <c r="E17" s="30" t="s">
        <v>380</v>
      </c>
      <c r="F17" s="182">
        <v>565</v>
      </c>
      <c r="G17" s="143">
        <v>1207.02</v>
      </c>
      <c r="H17" s="143">
        <v>0</v>
      </c>
      <c r="I17" s="143">
        <v>0</v>
      </c>
      <c r="J17" s="236">
        <v>120834887.83</v>
      </c>
      <c r="K17" s="185">
        <v>6041744.3899999997</v>
      </c>
      <c r="L17" s="185">
        <v>135335074.37</v>
      </c>
      <c r="M17" s="185">
        <v>6766753.7199999997</v>
      </c>
      <c r="P17" s="229"/>
      <c r="R17" s="229"/>
    </row>
    <row r="18" spans="1:18" ht="22.5" customHeight="1" thickTop="1" thickBot="1" x14ac:dyDescent="0.35">
      <c r="A18" s="114">
        <f t="shared" si="0"/>
        <v>15</v>
      </c>
      <c r="B18" s="143" t="s">
        <v>382</v>
      </c>
      <c r="C18" s="30">
        <v>7009</v>
      </c>
      <c r="D18" s="30" t="s">
        <v>258</v>
      </c>
      <c r="E18" s="30" t="s">
        <v>245</v>
      </c>
      <c r="F18" s="182">
        <v>525</v>
      </c>
      <c r="G18" s="143">
        <v>1081.58</v>
      </c>
      <c r="H18" s="143">
        <v>0</v>
      </c>
      <c r="I18" s="143">
        <v>0</v>
      </c>
      <c r="J18" s="236">
        <v>110583235.12</v>
      </c>
      <c r="K18" s="185">
        <v>5529161.7599999998</v>
      </c>
      <c r="L18" s="185">
        <v>123853223.34</v>
      </c>
      <c r="M18" s="185">
        <v>6192661.1699999999</v>
      </c>
      <c r="P18" s="229"/>
      <c r="R18" s="229"/>
    </row>
    <row r="19" spans="1:18" ht="22.5" customHeight="1" thickTop="1" thickBot="1" x14ac:dyDescent="0.35">
      <c r="A19" s="114">
        <f t="shared" si="0"/>
        <v>16</v>
      </c>
      <c r="B19" s="143" t="s">
        <v>427</v>
      </c>
      <c r="C19" s="30">
        <v>5010</v>
      </c>
      <c r="D19" s="30" t="s">
        <v>120</v>
      </c>
      <c r="E19" s="30" t="s">
        <v>333</v>
      </c>
      <c r="F19" s="182">
        <v>418</v>
      </c>
      <c r="G19" s="143">
        <v>707.65</v>
      </c>
      <c r="H19" s="143">
        <v>0</v>
      </c>
      <c r="I19" s="143">
        <v>0</v>
      </c>
      <c r="J19" s="236">
        <v>73853980.450000003</v>
      </c>
      <c r="K19" s="185">
        <v>3692699.02</v>
      </c>
      <c r="L19" s="185"/>
      <c r="M19" s="185"/>
      <c r="P19" s="229"/>
      <c r="R19" s="229"/>
    </row>
    <row r="20" spans="1:18" ht="22.5" customHeight="1" thickTop="1" thickBot="1" x14ac:dyDescent="0.35">
      <c r="A20" s="114">
        <f t="shared" si="0"/>
        <v>17</v>
      </c>
      <c r="B20" s="143" t="s">
        <v>426</v>
      </c>
      <c r="C20" s="30">
        <v>1113</v>
      </c>
      <c r="D20" s="30" t="s">
        <v>429</v>
      </c>
      <c r="E20" s="30" t="s">
        <v>430</v>
      </c>
      <c r="F20" s="182">
        <v>254</v>
      </c>
      <c r="G20" s="143">
        <v>379.95</v>
      </c>
      <c r="H20" s="143">
        <v>0</v>
      </c>
      <c r="I20" s="143">
        <v>0</v>
      </c>
      <c r="J20" s="236">
        <v>44991534.609999999</v>
      </c>
      <c r="K20" s="185">
        <v>2249576.73</v>
      </c>
      <c r="L20" s="185"/>
      <c r="M20" s="185"/>
      <c r="P20" s="229"/>
      <c r="R20" s="229"/>
    </row>
    <row r="21" spans="1:18" ht="22.5" customHeight="1" thickTop="1" thickBot="1" x14ac:dyDescent="0.35">
      <c r="A21" s="114">
        <f t="shared" si="0"/>
        <v>18</v>
      </c>
      <c r="B21" s="143" t="s">
        <v>428</v>
      </c>
      <c r="C21" s="30">
        <v>5013</v>
      </c>
      <c r="D21" s="30" t="s">
        <v>120</v>
      </c>
      <c r="E21" s="30" t="s">
        <v>259</v>
      </c>
      <c r="F21" s="182">
        <v>606</v>
      </c>
      <c r="G21" s="143">
        <v>858</v>
      </c>
      <c r="H21" s="143">
        <v>0</v>
      </c>
      <c r="I21" s="143">
        <v>330</v>
      </c>
      <c r="J21" s="236">
        <v>118801224.92</v>
      </c>
      <c r="K21" s="185">
        <v>5940061.25</v>
      </c>
      <c r="L21" s="185"/>
      <c r="M21" s="185"/>
      <c r="P21" s="229"/>
      <c r="R21" s="229"/>
    </row>
    <row r="22" spans="1:18" ht="28.2" customHeight="1" thickTop="1" thickBot="1" x14ac:dyDescent="0.35">
      <c r="A22" s="42"/>
      <c r="B22" s="158"/>
      <c r="C22" s="44"/>
      <c r="D22" s="44"/>
      <c r="E22" s="44"/>
      <c r="F22" s="44"/>
      <c r="G22" s="44"/>
      <c r="H22" s="44"/>
      <c r="I22" s="44"/>
      <c r="J22" s="178"/>
      <c r="K22" s="111"/>
      <c r="L22" s="111"/>
      <c r="M22" s="111"/>
      <c r="P22" s="229"/>
      <c r="R22" s="229"/>
    </row>
    <row r="23" spans="1:18" ht="22.5" customHeight="1" thickTop="1" x14ac:dyDescent="0.3">
      <c r="B23"/>
      <c r="C23"/>
      <c r="D23"/>
      <c r="E23"/>
      <c r="K23" s="171"/>
      <c r="P23" s="229"/>
      <c r="R23" s="229"/>
    </row>
    <row r="24" spans="1:18" ht="19.2" customHeight="1" x14ac:dyDescent="0.3">
      <c r="B24"/>
      <c r="C24"/>
      <c r="D24"/>
      <c r="E24"/>
      <c r="K24" s="171"/>
      <c r="P24" s="229"/>
      <c r="R24" s="229"/>
    </row>
    <row r="25" spans="1:18" ht="22.5" customHeight="1" x14ac:dyDescent="0.3">
      <c r="B25" s="147"/>
      <c r="C25" s="122"/>
      <c r="D25"/>
      <c r="E25"/>
      <c r="K25" s="171"/>
      <c r="P25" s="229"/>
      <c r="R25" s="229"/>
    </row>
    <row r="26" spans="1:18" ht="35.4" customHeight="1" x14ac:dyDescent="0.3">
      <c r="B26" s="147"/>
      <c r="C26" s="122"/>
      <c r="D26"/>
      <c r="E26"/>
      <c r="K26" s="171"/>
      <c r="P26" s="229"/>
      <c r="R26" s="229"/>
    </row>
    <row r="27" spans="1:18" ht="22.5" customHeight="1" x14ac:dyDescent="0.3">
      <c r="B27" s="147"/>
      <c r="C27" s="122"/>
      <c r="D27" s="147"/>
      <c r="E27" s="147"/>
      <c r="K27" s="171"/>
      <c r="P27" s="229"/>
      <c r="R27" s="229"/>
    </row>
    <row r="28" spans="1:18" ht="22.5" customHeight="1" x14ac:dyDescent="0.3">
      <c r="B28" s="147"/>
      <c r="C28"/>
      <c r="D28"/>
      <c r="E28" s="115"/>
      <c r="K28" s="171"/>
      <c r="P28" s="229"/>
      <c r="R28" s="229"/>
    </row>
    <row r="29" spans="1:18" ht="22.5" customHeight="1" x14ac:dyDescent="0.3">
      <c r="B29" s="147"/>
      <c r="C29"/>
      <c r="D29"/>
      <c r="E29" s="115"/>
      <c r="K29" s="171"/>
      <c r="P29" s="229"/>
      <c r="R29" s="229"/>
    </row>
    <row r="30" spans="1:18" ht="22.5" customHeight="1" x14ac:dyDescent="0.3">
      <c r="B30" s="147"/>
      <c r="C30"/>
      <c r="D30"/>
      <c r="E30" s="115"/>
      <c r="K30" s="171"/>
      <c r="P30" s="229"/>
      <c r="R30" s="229"/>
    </row>
    <row r="31" spans="1:18" ht="22.5" customHeight="1" x14ac:dyDescent="0.3">
      <c r="B31" s="147"/>
      <c r="C31"/>
      <c r="D31"/>
      <c r="E31" s="115"/>
      <c r="K31" s="171"/>
      <c r="P31" s="229"/>
      <c r="R31" s="229"/>
    </row>
    <row r="32" spans="1:18" ht="22.5" customHeight="1" x14ac:dyDescent="0.3">
      <c r="B32" s="147"/>
      <c r="C32"/>
      <c r="D32"/>
      <c r="E32" s="115"/>
      <c r="K32" s="171"/>
      <c r="P32" s="229"/>
      <c r="R32" s="229"/>
    </row>
    <row r="33" spans="2:18" ht="22.5" customHeight="1" x14ac:dyDescent="0.3">
      <c r="B33" s="147"/>
      <c r="C33"/>
      <c r="D33"/>
      <c r="E33" s="115"/>
      <c r="K33" s="171"/>
      <c r="P33" s="229"/>
      <c r="R33" s="229"/>
    </row>
    <row r="34" spans="2:18" ht="22.5" customHeight="1" x14ac:dyDescent="0.3">
      <c r="B34" s="147"/>
      <c r="C34"/>
      <c r="D34"/>
      <c r="E34" s="115"/>
      <c r="K34" s="171"/>
      <c r="P34" s="229"/>
      <c r="R34" s="229"/>
    </row>
    <row r="35" spans="2:18" ht="22.5" customHeight="1" x14ac:dyDescent="0.3">
      <c r="B35" s="147"/>
      <c r="C35"/>
      <c r="D35"/>
      <c r="E35" s="115"/>
      <c r="K35" s="171"/>
      <c r="P35" s="229"/>
      <c r="R35" s="229"/>
    </row>
    <row r="36" spans="2:18" ht="22.5" customHeight="1" x14ac:dyDescent="0.3">
      <c r="B36" s="147"/>
      <c r="C36"/>
      <c r="D36"/>
      <c r="E36" s="115"/>
      <c r="K36" s="171"/>
      <c r="P36" s="229"/>
      <c r="R36" s="229"/>
    </row>
    <row r="37" spans="2:18" ht="22.5" customHeight="1" x14ac:dyDescent="0.3">
      <c r="B37" s="155"/>
      <c r="C37"/>
      <c r="D37"/>
      <c r="E37" s="115"/>
      <c r="K37" s="171"/>
      <c r="P37" s="229"/>
      <c r="R37" s="229"/>
    </row>
    <row r="38" spans="2:18" ht="22.5" customHeight="1" x14ac:dyDescent="0.3">
      <c r="B38" s="147"/>
      <c r="C38"/>
      <c r="D38"/>
      <c r="E38" s="115"/>
      <c r="K38" s="171"/>
      <c r="P38" s="229"/>
      <c r="R38" s="229"/>
    </row>
    <row r="39" spans="2:18" ht="22.5" customHeight="1" x14ac:dyDescent="0.3">
      <c r="B39" s="147"/>
      <c r="C39"/>
      <c r="D39"/>
      <c r="E39" s="115"/>
      <c r="K39" s="171"/>
      <c r="P39" s="229"/>
      <c r="R39" s="229"/>
    </row>
    <row r="40" spans="2:18" ht="22.5" customHeight="1" x14ac:dyDescent="0.3">
      <c r="B40" s="147"/>
      <c r="C40"/>
      <c r="D40"/>
      <c r="E40" s="115"/>
      <c r="K40" s="171"/>
      <c r="P40" s="229"/>
      <c r="R40" s="229"/>
    </row>
    <row r="41" spans="2:18" ht="22.5" customHeight="1" x14ac:dyDescent="0.3">
      <c r="B41" s="147"/>
      <c r="C41"/>
      <c r="D41"/>
      <c r="E41" s="115"/>
      <c r="K41" s="171"/>
      <c r="P41" s="229"/>
      <c r="R41" s="229"/>
    </row>
    <row r="42" spans="2:18" ht="22.5" customHeight="1" x14ac:dyDescent="0.3">
      <c r="B42" s="147"/>
      <c r="C42"/>
      <c r="D42"/>
      <c r="E42" s="115"/>
      <c r="K42" s="171"/>
      <c r="P42" s="229"/>
      <c r="R42" s="229"/>
    </row>
    <row r="43" spans="2:18" ht="22.5" customHeight="1" x14ac:dyDescent="0.3">
      <c r="B43" s="147"/>
      <c r="C43"/>
      <c r="D43"/>
      <c r="E43" s="115"/>
      <c r="K43" s="171"/>
      <c r="P43" s="229"/>
      <c r="R43" s="229"/>
    </row>
    <row r="44" spans="2:18" ht="22.5" customHeight="1" x14ac:dyDescent="0.3">
      <c r="B44" s="147"/>
      <c r="C44"/>
      <c r="D44"/>
      <c r="E44" s="115"/>
      <c r="K44" s="172"/>
      <c r="P44" s="229"/>
      <c r="R44" s="229"/>
    </row>
    <row r="45" spans="2:18" ht="22.5" customHeight="1" x14ac:dyDescent="0.3">
      <c r="B45" s="147"/>
      <c r="C45"/>
      <c r="D45"/>
      <c r="E45" s="115"/>
      <c r="K45" s="172"/>
      <c r="P45" s="229"/>
    </row>
    <row r="46" spans="2:18" ht="22.5" customHeight="1" x14ac:dyDescent="0.3">
      <c r="B46" s="147"/>
      <c r="C46"/>
      <c r="D46"/>
      <c r="E46" s="115"/>
      <c r="K46" s="172"/>
    </row>
    <row r="47" spans="2:18" ht="22.5" customHeight="1" x14ac:dyDescent="0.3">
      <c r="B47" s="147"/>
      <c r="C47"/>
      <c r="D47"/>
      <c r="E47" s="115"/>
      <c r="K47" s="172"/>
    </row>
    <row r="48" spans="2:18" ht="22.5" customHeight="1" x14ac:dyDescent="0.3">
      <c r="B48" s="147"/>
      <c r="C48"/>
      <c r="D48"/>
      <c r="E48" s="115"/>
      <c r="K48" s="172"/>
    </row>
    <row r="49" spans="2:11" ht="22.5" customHeight="1" x14ac:dyDescent="0.3">
      <c r="B49" s="147"/>
      <c r="C49"/>
      <c r="D49"/>
      <c r="E49" s="115"/>
      <c r="K49" s="171"/>
    </row>
    <row r="50" spans="2:11" ht="22.5" customHeight="1" x14ac:dyDescent="0.3">
      <c r="B50" s="147"/>
      <c r="C50"/>
      <c r="D50"/>
      <c r="E50" s="115"/>
      <c r="K50" s="171"/>
    </row>
    <row r="51" spans="2:11" ht="22.5" customHeight="1" x14ac:dyDescent="0.3">
      <c r="B51" s="147"/>
      <c r="C51"/>
      <c r="D51"/>
      <c r="E51" s="115"/>
      <c r="K51" s="171"/>
    </row>
    <row r="52" spans="2:11" ht="22.5" customHeight="1" x14ac:dyDescent="0.3">
      <c r="B52" s="147"/>
      <c r="C52"/>
      <c r="D52"/>
      <c r="E52" s="115"/>
      <c r="K52" s="171"/>
    </row>
    <row r="53" spans="2:11" ht="22.5" customHeight="1" x14ac:dyDescent="0.3">
      <c r="B53" s="147"/>
      <c r="C53"/>
      <c r="D53"/>
      <c r="E53" s="115"/>
      <c r="K53" s="171"/>
    </row>
    <row r="54" spans="2:11" ht="22.5" customHeight="1" x14ac:dyDescent="0.3">
      <c r="B54" s="147"/>
      <c r="C54"/>
      <c r="D54"/>
      <c r="E54" s="115"/>
      <c r="K54" s="171"/>
    </row>
    <row r="55" spans="2:11" ht="22.5" customHeight="1" x14ac:dyDescent="0.3">
      <c r="B55" s="147"/>
      <c r="C55"/>
      <c r="D55"/>
      <c r="E55"/>
      <c r="K55" s="171"/>
    </row>
    <row r="56" spans="2:11" ht="22.5" customHeight="1" x14ac:dyDescent="0.3">
      <c r="B56" s="147"/>
      <c r="C56"/>
      <c r="D56"/>
      <c r="E56"/>
      <c r="K56" s="171"/>
    </row>
    <row r="57" spans="2:11" ht="22.5" customHeight="1" x14ac:dyDescent="0.3">
      <c r="B57" s="147"/>
      <c r="C57"/>
      <c r="D57"/>
      <c r="E57"/>
      <c r="K57" s="171"/>
    </row>
    <row r="58" spans="2:11" ht="22.5" customHeight="1" x14ac:dyDescent="0.3">
      <c r="B58" s="147"/>
      <c r="C58"/>
      <c r="D58"/>
      <c r="E58"/>
    </row>
    <row r="59" spans="2:11" ht="22.5" customHeight="1" x14ac:dyDescent="0.3">
      <c r="B59" s="147"/>
      <c r="C59"/>
      <c r="D59"/>
      <c r="E59"/>
    </row>
    <row r="60" spans="2:11" ht="22.5" customHeight="1" x14ac:dyDescent="0.3">
      <c r="B60" s="147"/>
      <c r="C60"/>
      <c r="D60"/>
      <c r="E60"/>
    </row>
    <row r="61" spans="2:11" ht="22.5" customHeight="1" x14ac:dyDescent="0.3">
      <c r="B61" s="147"/>
      <c r="C61"/>
      <c r="D61"/>
      <c r="E61"/>
    </row>
    <row r="62" spans="2:11" ht="22.5" customHeight="1" x14ac:dyDescent="0.3">
      <c r="B62" s="147"/>
      <c r="C62"/>
      <c r="D62"/>
      <c r="E62"/>
    </row>
    <row r="63" spans="2:11" ht="22.5" customHeight="1" x14ac:dyDescent="0.3">
      <c r="B63" s="147"/>
      <c r="C63"/>
      <c r="D63"/>
      <c r="E63"/>
    </row>
    <row r="64" spans="2:11" ht="22.5" customHeight="1" x14ac:dyDescent="0.3">
      <c r="B64" s="147"/>
      <c r="C64"/>
      <c r="D64"/>
      <c r="E64"/>
    </row>
    <row r="65" spans="2:5" ht="22.5" customHeight="1" x14ac:dyDescent="0.3">
      <c r="B65" s="147"/>
      <c r="C65"/>
      <c r="D65"/>
      <c r="E65"/>
    </row>
    <row r="66" spans="2:5" ht="22.5" customHeight="1" x14ac:dyDescent="0.3">
      <c r="B66" s="147"/>
      <c r="C66"/>
      <c r="D66"/>
      <c r="E66"/>
    </row>
    <row r="67" spans="2:5" ht="22.5" customHeight="1" x14ac:dyDescent="0.3">
      <c r="B67" s="147"/>
      <c r="C67"/>
      <c r="D67"/>
      <c r="E67"/>
    </row>
    <row r="68" spans="2:5" ht="22.5" customHeight="1" x14ac:dyDescent="0.3">
      <c r="B68" s="147"/>
      <c r="C68"/>
      <c r="D68"/>
      <c r="E68"/>
    </row>
    <row r="69" spans="2:5" ht="22.5" customHeight="1" x14ac:dyDescent="0.3">
      <c r="B69" s="147"/>
      <c r="C69"/>
      <c r="D69"/>
      <c r="E69"/>
    </row>
    <row r="70" spans="2:5" ht="22.5" customHeight="1" x14ac:dyDescent="0.3">
      <c r="B70" s="147"/>
      <c r="C70"/>
      <c r="D70"/>
      <c r="E70"/>
    </row>
    <row r="71" spans="2:5" ht="22.5" customHeight="1" x14ac:dyDescent="0.3">
      <c r="B71" s="147"/>
      <c r="C71"/>
      <c r="D71"/>
      <c r="E71"/>
    </row>
    <row r="72" spans="2:5" ht="22.5" customHeight="1" x14ac:dyDescent="0.3">
      <c r="B72" s="147"/>
      <c r="C72"/>
      <c r="D72"/>
      <c r="E72"/>
    </row>
    <row r="73" spans="2:5" ht="22.5" customHeight="1" x14ac:dyDescent="0.3">
      <c r="B73" s="147"/>
      <c r="C73"/>
      <c r="D73"/>
      <c r="E73"/>
    </row>
    <row r="74" spans="2:5" ht="22.5" customHeight="1" x14ac:dyDescent="0.3">
      <c r="B74" s="147"/>
      <c r="C74"/>
      <c r="D74"/>
      <c r="E74"/>
    </row>
    <row r="75" spans="2:5" ht="22.5" customHeight="1" x14ac:dyDescent="0.3">
      <c r="B75" s="147"/>
      <c r="C75"/>
      <c r="D75"/>
      <c r="E75"/>
    </row>
    <row r="76" spans="2:5" ht="22.5" customHeight="1" x14ac:dyDescent="0.3">
      <c r="B76" s="147"/>
      <c r="C76"/>
      <c r="D76"/>
      <c r="E76"/>
    </row>
    <row r="77" spans="2:5" ht="22.5" customHeight="1" x14ac:dyDescent="0.3">
      <c r="B77" s="147"/>
      <c r="C77"/>
      <c r="D77"/>
      <c r="E77"/>
    </row>
    <row r="78" spans="2:5" ht="22.5" customHeight="1" x14ac:dyDescent="0.3">
      <c r="B78" s="147"/>
      <c r="C78"/>
      <c r="D78"/>
      <c r="E78"/>
    </row>
    <row r="79" spans="2:5" ht="22.5" customHeight="1" x14ac:dyDescent="0.3">
      <c r="B79" s="147"/>
      <c r="C79"/>
      <c r="D79"/>
      <c r="E79"/>
    </row>
    <row r="80" spans="2:5" ht="22.5" customHeight="1" x14ac:dyDescent="0.3">
      <c r="B80" s="147"/>
      <c r="C80"/>
      <c r="D80"/>
      <c r="E80"/>
    </row>
    <row r="81" spans="2:5" ht="22.5" customHeight="1" x14ac:dyDescent="0.3">
      <c r="B81" s="147"/>
      <c r="C81"/>
      <c r="D81"/>
      <c r="E81"/>
    </row>
    <row r="82" spans="2:5" ht="22.5" customHeight="1" x14ac:dyDescent="0.3">
      <c r="B82" s="147"/>
      <c r="C82"/>
      <c r="D82"/>
      <c r="E82"/>
    </row>
    <row r="83" spans="2:5" ht="22.5" customHeight="1" x14ac:dyDescent="0.3">
      <c r="B83" s="147"/>
      <c r="C83"/>
      <c r="D83"/>
      <c r="E83"/>
    </row>
    <row r="84" spans="2:5" ht="22.5" customHeight="1" x14ac:dyDescent="0.3">
      <c r="B84" s="147"/>
      <c r="C84"/>
      <c r="D84"/>
      <c r="E84"/>
    </row>
    <row r="85" spans="2:5" ht="22.5" customHeight="1" x14ac:dyDescent="0.3">
      <c r="B85" s="147"/>
      <c r="C85"/>
      <c r="D85"/>
      <c r="E85"/>
    </row>
    <row r="86" spans="2:5" ht="22.5" customHeight="1" x14ac:dyDescent="0.3">
      <c r="B86" s="147"/>
      <c r="C86"/>
      <c r="D86"/>
      <c r="E86"/>
    </row>
    <row r="87" spans="2:5" ht="22.5" customHeight="1" x14ac:dyDescent="0.3">
      <c r="B87" s="147"/>
      <c r="C87"/>
      <c r="D87"/>
      <c r="E87"/>
    </row>
    <row r="88" spans="2:5" ht="22.5" customHeight="1" x14ac:dyDescent="0.3">
      <c r="B88" s="147"/>
      <c r="C88"/>
      <c r="D88"/>
      <c r="E88"/>
    </row>
    <row r="89" spans="2:5" ht="22.5" customHeight="1" x14ac:dyDescent="0.3">
      <c r="B89" s="147"/>
      <c r="C89"/>
      <c r="D89"/>
      <c r="E89"/>
    </row>
    <row r="90" spans="2:5" ht="22.5" customHeight="1" x14ac:dyDescent="0.3">
      <c r="B90" s="147"/>
      <c r="C90"/>
      <c r="D90"/>
      <c r="E90"/>
    </row>
    <row r="91" spans="2:5" ht="22.5" customHeight="1" x14ac:dyDescent="0.3">
      <c r="B91" s="147"/>
      <c r="C91"/>
      <c r="D91"/>
      <c r="E91"/>
    </row>
    <row r="92" spans="2:5" ht="22.5" customHeight="1" x14ac:dyDescent="0.3">
      <c r="B92" s="147"/>
      <c r="C92"/>
      <c r="D92"/>
      <c r="E92"/>
    </row>
    <row r="93" spans="2:5" ht="22.5" customHeight="1" x14ac:dyDescent="0.3">
      <c r="B93" s="147"/>
      <c r="C93"/>
      <c r="D93"/>
      <c r="E93"/>
    </row>
    <row r="94" spans="2:5" ht="22.5" customHeight="1" x14ac:dyDescent="0.3">
      <c r="B94" s="147"/>
      <c r="C94"/>
      <c r="D94"/>
      <c r="E94"/>
    </row>
    <row r="95" spans="2:5" ht="22.5" customHeight="1" x14ac:dyDescent="0.3">
      <c r="B95" s="147"/>
      <c r="C95"/>
      <c r="D95"/>
      <c r="E95"/>
    </row>
    <row r="96" spans="2:5" ht="22.5" customHeight="1" x14ac:dyDescent="0.3">
      <c r="B96" s="147"/>
      <c r="C96"/>
      <c r="D96"/>
      <c r="E96"/>
    </row>
    <row r="97" spans="2:5" ht="22.5" customHeight="1" x14ac:dyDescent="0.3">
      <c r="B97" s="147"/>
      <c r="C97"/>
      <c r="D97"/>
      <c r="E97"/>
    </row>
    <row r="98" spans="2:5" ht="22.5" customHeight="1" x14ac:dyDescent="0.3">
      <c r="B98" s="147"/>
      <c r="C98"/>
      <c r="D98"/>
      <c r="E98"/>
    </row>
    <row r="99" spans="2:5" ht="22.5" customHeight="1" x14ac:dyDescent="0.3">
      <c r="B99" s="147"/>
      <c r="C99"/>
      <c r="D99"/>
      <c r="E99"/>
    </row>
    <row r="100" spans="2:5" ht="22.5" customHeight="1" x14ac:dyDescent="0.3">
      <c r="B100" s="147"/>
      <c r="C100"/>
      <c r="D100"/>
      <c r="E100"/>
    </row>
    <row r="101" spans="2:5" ht="22.5" customHeight="1" x14ac:dyDescent="0.3">
      <c r="B101" s="147"/>
      <c r="C101"/>
      <c r="D101"/>
      <c r="E101"/>
    </row>
    <row r="102" spans="2:5" ht="22.5" customHeight="1" x14ac:dyDescent="0.3">
      <c r="B102" s="147"/>
      <c r="C102"/>
      <c r="D102"/>
      <c r="E102"/>
    </row>
    <row r="103" spans="2:5" ht="22.5" customHeight="1" x14ac:dyDescent="0.3">
      <c r="B103" s="147"/>
      <c r="C103"/>
      <c r="D103"/>
      <c r="E103"/>
    </row>
    <row r="104" spans="2:5" ht="22.5" customHeight="1" x14ac:dyDescent="0.3">
      <c r="B104" s="147"/>
      <c r="C104"/>
      <c r="D104"/>
      <c r="E104"/>
    </row>
    <row r="105" spans="2:5" ht="22.5" customHeight="1" x14ac:dyDescent="0.3">
      <c r="B105" s="147"/>
      <c r="C105"/>
      <c r="D105"/>
      <c r="E105"/>
    </row>
    <row r="106" spans="2:5" ht="22.5" customHeight="1" x14ac:dyDescent="0.3">
      <c r="B106" s="147"/>
      <c r="C106"/>
      <c r="D106"/>
      <c r="E106"/>
    </row>
    <row r="107" spans="2:5" ht="22.5" customHeight="1" x14ac:dyDescent="0.3">
      <c r="B107" s="147"/>
      <c r="C107"/>
      <c r="D107"/>
      <c r="E107"/>
    </row>
    <row r="108" spans="2:5" ht="22.5" customHeight="1" x14ac:dyDescent="0.3">
      <c r="B108" s="147"/>
      <c r="C108"/>
      <c r="D108"/>
      <c r="E108"/>
    </row>
    <row r="109" spans="2:5" ht="22.5" customHeight="1" x14ac:dyDescent="0.3">
      <c r="B109" s="147"/>
      <c r="C109"/>
      <c r="D109"/>
      <c r="E109"/>
    </row>
    <row r="110" spans="2:5" ht="22.5" customHeight="1" x14ac:dyDescent="0.3">
      <c r="B110" s="147"/>
      <c r="C110"/>
      <c r="D110"/>
      <c r="E110"/>
    </row>
    <row r="111" spans="2:5" ht="22.5" customHeight="1" x14ac:dyDescent="0.3">
      <c r="B111" s="147"/>
      <c r="C111"/>
      <c r="D111"/>
      <c r="E111"/>
    </row>
    <row r="112" spans="2:5" ht="22.5" customHeight="1" x14ac:dyDescent="0.3">
      <c r="B112" s="147"/>
      <c r="C112"/>
      <c r="D112"/>
      <c r="E112"/>
    </row>
    <row r="113" spans="2:5" ht="22.5" customHeight="1" x14ac:dyDescent="0.3">
      <c r="B113" s="147"/>
      <c r="C113"/>
      <c r="D113"/>
      <c r="E113"/>
    </row>
    <row r="114" spans="2:5" ht="22.5" customHeight="1" x14ac:dyDescent="0.3">
      <c r="B114" s="147"/>
      <c r="C114"/>
      <c r="D114"/>
      <c r="E114"/>
    </row>
    <row r="115" spans="2:5" ht="22.5" customHeight="1" x14ac:dyDescent="0.3">
      <c r="B115" s="147"/>
      <c r="C115"/>
      <c r="D115"/>
      <c r="E115"/>
    </row>
    <row r="116" spans="2:5" ht="22.5" customHeight="1" x14ac:dyDescent="0.3">
      <c r="B116" s="147"/>
      <c r="C116"/>
      <c r="D116"/>
      <c r="E116"/>
    </row>
    <row r="117" spans="2:5" ht="22.5" customHeight="1" x14ac:dyDescent="0.3">
      <c r="B117" s="147"/>
      <c r="C117"/>
      <c r="D117"/>
      <c r="E117"/>
    </row>
    <row r="118" spans="2:5" ht="22.5" customHeight="1" x14ac:dyDescent="0.3">
      <c r="B118" s="147"/>
      <c r="C118"/>
      <c r="D118"/>
      <c r="E118"/>
    </row>
    <row r="119" spans="2:5" ht="22.5" customHeight="1" x14ac:dyDescent="0.3">
      <c r="B119" s="147"/>
      <c r="C119"/>
      <c r="D119"/>
      <c r="E119"/>
    </row>
    <row r="120" spans="2:5" ht="22.5" customHeight="1" x14ac:dyDescent="0.3">
      <c r="B120" s="147"/>
      <c r="C120"/>
      <c r="D120"/>
      <c r="E120"/>
    </row>
    <row r="121" spans="2:5" ht="22.5" customHeight="1" x14ac:dyDescent="0.3">
      <c r="B121" s="147"/>
      <c r="C121"/>
      <c r="D121"/>
      <c r="E121"/>
    </row>
    <row r="122" spans="2:5" ht="22.5" customHeight="1" x14ac:dyDescent="0.3">
      <c r="B122" s="147"/>
      <c r="C122"/>
      <c r="D122"/>
      <c r="E122"/>
    </row>
    <row r="123" spans="2:5" ht="22.5" customHeight="1" x14ac:dyDescent="0.3">
      <c r="B123" s="147"/>
      <c r="C123"/>
      <c r="D123"/>
      <c r="E123"/>
    </row>
    <row r="124" spans="2:5" ht="22.5" customHeight="1" x14ac:dyDescent="0.3">
      <c r="B124" s="147"/>
      <c r="C124"/>
      <c r="D124"/>
      <c r="E124"/>
    </row>
    <row r="125" spans="2:5" ht="22.5" customHeight="1" x14ac:dyDescent="0.3">
      <c r="B125" s="147"/>
      <c r="C125"/>
      <c r="D125"/>
      <c r="E125"/>
    </row>
    <row r="126" spans="2:5" ht="22.5" customHeight="1" x14ac:dyDescent="0.3">
      <c r="B126" s="147"/>
      <c r="C126"/>
      <c r="D126"/>
      <c r="E126"/>
    </row>
    <row r="127" spans="2:5" ht="22.5" customHeight="1" x14ac:dyDescent="0.3">
      <c r="B127" s="147"/>
      <c r="C127"/>
      <c r="D127"/>
      <c r="E127"/>
    </row>
    <row r="128" spans="2:5" ht="22.5" customHeight="1" x14ac:dyDescent="0.3">
      <c r="B128" s="147"/>
      <c r="C128"/>
      <c r="D128"/>
      <c r="E128"/>
    </row>
    <row r="129" spans="2:5" ht="22.5" customHeight="1" x14ac:dyDescent="0.3">
      <c r="B129" s="147"/>
      <c r="C129"/>
      <c r="D129"/>
      <c r="E129"/>
    </row>
    <row r="130" spans="2:5" ht="22.5" customHeight="1" x14ac:dyDescent="0.3">
      <c r="B130" s="147"/>
      <c r="C130"/>
      <c r="D130"/>
      <c r="E130"/>
    </row>
    <row r="131" spans="2:5" ht="22.5" customHeight="1" x14ac:dyDescent="0.3">
      <c r="B131" s="147"/>
      <c r="C131"/>
      <c r="D131"/>
      <c r="E131"/>
    </row>
    <row r="132" spans="2:5" ht="22.5" customHeight="1" x14ac:dyDescent="0.3">
      <c r="B132" s="147"/>
      <c r="C132"/>
      <c r="D132"/>
      <c r="E132"/>
    </row>
    <row r="133" spans="2:5" ht="22.5" customHeight="1" x14ac:dyDescent="0.3">
      <c r="B133" s="147"/>
      <c r="C133"/>
      <c r="D133"/>
      <c r="E133"/>
    </row>
    <row r="134" spans="2:5" ht="22.5" customHeight="1" x14ac:dyDescent="0.3">
      <c r="B134" s="147"/>
      <c r="C134"/>
      <c r="D134"/>
      <c r="E134"/>
    </row>
    <row r="135" spans="2:5" ht="22.5" customHeight="1" x14ac:dyDescent="0.3">
      <c r="B135" s="147"/>
      <c r="C135"/>
      <c r="D135"/>
      <c r="E135"/>
    </row>
    <row r="136" spans="2:5" ht="22.5" customHeight="1" x14ac:dyDescent="0.3">
      <c r="B136" s="147"/>
      <c r="C136"/>
      <c r="D136"/>
      <c r="E136"/>
    </row>
    <row r="137" spans="2:5" ht="22.5" customHeight="1" x14ac:dyDescent="0.3">
      <c r="B137" s="147"/>
      <c r="C137"/>
      <c r="D137"/>
      <c r="E137"/>
    </row>
    <row r="138" spans="2:5" ht="22.5" customHeight="1" x14ac:dyDescent="0.3">
      <c r="B138" s="147"/>
      <c r="C138"/>
      <c r="D138"/>
      <c r="E138"/>
    </row>
    <row r="139" spans="2:5" ht="22.5" customHeight="1" x14ac:dyDescent="0.3">
      <c r="B139" s="147"/>
      <c r="C139"/>
      <c r="D139"/>
      <c r="E139"/>
    </row>
    <row r="140" spans="2:5" ht="22.5" customHeight="1" x14ac:dyDescent="0.3">
      <c r="B140" s="147"/>
      <c r="C140"/>
      <c r="D140"/>
      <c r="E140"/>
    </row>
    <row r="141" spans="2:5" ht="22.5" customHeight="1" x14ac:dyDescent="0.3">
      <c r="B141" s="147"/>
      <c r="C141"/>
      <c r="D141"/>
      <c r="E141"/>
    </row>
    <row r="142" spans="2:5" ht="22.5" customHeight="1" x14ac:dyDescent="0.3">
      <c r="B142" s="147"/>
      <c r="C142"/>
      <c r="D142"/>
      <c r="E142"/>
    </row>
    <row r="143" spans="2:5" ht="22.5" customHeight="1" x14ac:dyDescent="0.3">
      <c r="B143" s="147"/>
      <c r="C143"/>
      <c r="D143"/>
      <c r="E143"/>
    </row>
    <row r="144" spans="2:5" ht="22.5" customHeight="1" x14ac:dyDescent="0.3">
      <c r="B144" s="147"/>
      <c r="C144"/>
      <c r="D144"/>
      <c r="E144"/>
    </row>
    <row r="145" spans="2:5" ht="22.5" customHeight="1" x14ac:dyDescent="0.3">
      <c r="B145" s="147"/>
      <c r="C145"/>
      <c r="D145"/>
      <c r="E145"/>
    </row>
    <row r="146" spans="2:5" ht="22.5" customHeight="1" x14ac:dyDescent="0.3">
      <c r="B146" s="147"/>
      <c r="C146"/>
      <c r="D146"/>
      <c r="E146"/>
    </row>
    <row r="147" spans="2:5" ht="22.5" customHeight="1" x14ac:dyDescent="0.3">
      <c r="B147" s="147"/>
      <c r="C147"/>
      <c r="D147"/>
      <c r="E147"/>
    </row>
    <row r="148" spans="2:5" ht="22.5" customHeight="1" x14ac:dyDescent="0.3">
      <c r="B148" s="147"/>
      <c r="C148"/>
      <c r="D148"/>
      <c r="E148"/>
    </row>
    <row r="149" spans="2:5" ht="22.5" customHeight="1" x14ac:dyDescent="0.3">
      <c r="B149" s="147"/>
      <c r="C149"/>
      <c r="D149"/>
      <c r="E149"/>
    </row>
    <row r="150" spans="2:5" ht="22.5" customHeight="1" x14ac:dyDescent="0.3">
      <c r="B150" s="147"/>
      <c r="C150"/>
      <c r="D150"/>
      <c r="E150"/>
    </row>
    <row r="151" spans="2:5" ht="22.5" customHeight="1" x14ac:dyDescent="0.3">
      <c r="B151" s="147"/>
      <c r="C151"/>
      <c r="D151"/>
      <c r="E151"/>
    </row>
    <row r="152" spans="2:5" ht="22.5" customHeight="1" x14ac:dyDescent="0.3">
      <c r="B152" s="147"/>
      <c r="C152"/>
      <c r="D152"/>
      <c r="E152"/>
    </row>
    <row r="153" spans="2:5" ht="22.5" customHeight="1" x14ac:dyDescent="0.3">
      <c r="B153" s="147"/>
      <c r="C153"/>
      <c r="D153"/>
      <c r="E153"/>
    </row>
    <row r="154" spans="2:5" ht="22.5" customHeight="1" x14ac:dyDescent="0.3">
      <c r="B154" s="147"/>
      <c r="C154"/>
      <c r="D154"/>
      <c r="E154"/>
    </row>
    <row r="155" spans="2:5" ht="22.5" customHeight="1" x14ac:dyDescent="0.3">
      <c r="B155" s="147"/>
      <c r="C155"/>
      <c r="D155"/>
      <c r="E155"/>
    </row>
    <row r="156" spans="2:5" ht="22.5" customHeight="1" x14ac:dyDescent="0.3">
      <c r="B156" s="147"/>
      <c r="C156"/>
      <c r="D156"/>
      <c r="E156"/>
    </row>
    <row r="157" spans="2:5" ht="22.5" customHeight="1" x14ac:dyDescent="0.3">
      <c r="B157" s="147"/>
      <c r="C157"/>
      <c r="D157"/>
      <c r="E157"/>
    </row>
    <row r="158" spans="2:5" ht="22.5" customHeight="1" x14ac:dyDescent="0.3">
      <c r="B158" s="147"/>
      <c r="C158"/>
      <c r="D158"/>
      <c r="E158"/>
    </row>
    <row r="159" spans="2:5" ht="22.5" customHeight="1" x14ac:dyDescent="0.3">
      <c r="B159" s="147"/>
      <c r="C159"/>
      <c r="D159"/>
      <c r="E159"/>
    </row>
    <row r="160" spans="2:5" ht="22.5" customHeight="1" x14ac:dyDescent="0.3">
      <c r="B160" s="147"/>
      <c r="C160"/>
      <c r="D160"/>
      <c r="E160"/>
    </row>
    <row r="161" spans="2:5" ht="22.5" customHeight="1" x14ac:dyDescent="0.3">
      <c r="B161" s="147"/>
      <c r="C161"/>
      <c r="D161"/>
      <c r="E161"/>
    </row>
    <row r="162" spans="2:5" ht="22.5" customHeight="1" x14ac:dyDescent="0.3">
      <c r="B162" s="147"/>
      <c r="C162"/>
      <c r="D162"/>
      <c r="E162"/>
    </row>
    <row r="163" spans="2:5" ht="22.5" customHeight="1" x14ac:dyDescent="0.3">
      <c r="B163" s="147"/>
      <c r="C163"/>
      <c r="D163"/>
      <c r="E163"/>
    </row>
    <row r="164" spans="2:5" ht="22.5" customHeight="1" x14ac:dyDescent="0.3">
      <c r="B164" s="147"/>
      <c r="C164"/>
      <c r="D164"/>
      <c r="E164"/>
    </row>
    <row r="165" spans="2:5" ht="22.5" customHeight="1" x14ac:dyDescent="0.3">
      <c r="B165" s="147"/>
      <c r="C165"/>
      <c r="D165"/>
      <c r="E165"/>
    </row>
    <row r="166" spans="2:5" ht="22.5" customHeight="1" x14ac:dyDescent="0.3">
      <c r="B166" s="147"/>
      <c r="C166"/>
      <c r="D166"/>
      <c r="E166"/>
    </row>
    <row r="167" spans="2:5" ht="22.5" customHeight="1" x14ac:dyDescent="0.3">
      <c r="B167" s="147"/>
      <c r="C167"/>
      <c r="D167"/>
      <c r="E167"/>
    </row>
    <row r="168" spans="2:5" ht="22.5" customHeight="1" x14ac:dyDescent="0.3">
      <c r="B168" s="147"/>
      <c r="C168"/>
      <c r="D168"/>
      <c r="E168"/>
    </row>
    <row r="169" spans="2:5" ht="22.5" customHeight="1" x14ac:dyDescent="0.3">
      <c r="B169" s="147"/>
      <c r="C169"/>
      <c r="D169"/>
      <c r="E169"/>
    </row>
    <row r="170" spans="2:5" ht="22.5" customHeight="1" x14ac:dyDescent="0.3">
      <c r="B170" s="147"/>
      <c r="C170"/>
      <c r="D170"/>
      <c r="E170"/>
    </row>
    <row r="171" spans="2:5" ht="22.5" customHeight="1" x14ac:dyDescent="0.3">
      <c r="B171" s="147"/>
      <c r="C171"/>
      <c r="D171"/>
      <c r="E171"/>
    </row>
    <row r="172" spans="2:5" ht="22.5" customHeight="1" x14ac:dyDescent="0.3">
      <c r="B172" s="147"/>
      <c r="C172"/>
      <c r="D172"/>
      <c r="E172"/>
    </row>
    <row r="173" spans="2:5" ht="22.5" customHeight="1" x14ac:dyDescent="0.3">
      <c r="B173" s="147"/>
      <c r="C173"/>
      <c r="D173"/>
      <c r="E173"/>
    </row>
    <row r="174" spans="2:5" ht="22.5" customHeight="1" x14ac:dyDescent="0.3">
      <c r="B174" s="147"/>
      <c r="C174"/>
      <c r="D174"/>
      <c r="E174"/>
    </row>
    <row r="175" spans="2:5" ht="22.5" customHeight="1" x14ac:dyDescent="0.3">
      <c r="B175" s="147"/>
      <c r="C175"/>
      <c r="D175"/>
      <c r="E175"/>
    </row>
    <row r="176" spans="2:5" ht="22.5" customHeight="1" x14ac:dyDescent="0.3">
      <c r="B176" s="147"/>
      <c r="C176"/>
      <c r="D176"/>
      <c r="E176"/>
    </row>
    <row r="177" spans="2:5" ht="22.5" customHeight="1" x14ac:dyDescent="0.3">
      <c r="B177" s="147"/>
      <c r="C177"/>
      <c r="D177"/>
      <c r="E177"/>
    </row>
    <row r="178" spans="2:5" ht="22.5" customHeight="1" x14ac:dyDescent="0.3">
      <c r="B178" s="147"/>
      <c r="C178"/>
      <c r="D178"/>
      <c r="E178"/>
    </row>
    <row r="179" spans="2:5" ht="22.5" customHeight="1" x14ac:dyDescent="0.3">
      <c r="B179" s="147"/>
      <c r="C179"/>
      <c r="D179"/>
      <c r="E179"/>
    </row>
    <row r="180" spans="2:5" ht="22.5" customHeight="1" x14ac:dyDescent="0.3">
      <c r="B180" s="147"/>
      <c r="C180"/>
      <c r="D180"/>
      <c r="E180"/>
    </row>
    <row r="181" spans="2:5" ht="22.5" customHeight="1" x14ac:dyDescent="0.3">
      <c r="B181" s="147"/>
      <c r="C181"/>
      <c r="D181"/>
      <c r="E181"/>
    </row>
    <row r="182" spans="2:5" ht="22.5" customHeight="1" x14ac:dyDescent="0.3">
      <c r="B182" s="147"/>
      <c r="C182"/>
      <c r="D182"/>
      <c r="E182"/>
    </row>
    <row r="183" spans="2:5" ht="22.5" customHeight="1" x14ac:dyDescent="0.3">
      <c r="B183" s="147"/>
      <c r="C183"/>
      <c r="D183"/>
      <c r="E183"/>
    </row>
    <row r="184" spans="2:5" ht="22.5" customHeight="1" x14ac:dyDescent="0.3">
      <c r="B184" s="147"/>
      <c r="C184"/>
      <c r="D184"/>
      <c r="E184"/>
    </row>
    <row r="185" spans="2:5" ht="22.5" customHeight="1" x14ac:dyDescent="0.3">
      <c r="B185" s="147"/>
      <c r="C185"/>
      <c r="D185"/>
      <c r="E185"/>
    </row>
    <row r="186" spans="2:5" ht="22.5" customHeight="1" x14ac:dyDescent="0.3">
      <c r="B186" s="147"/>
      <c r="C186"/>
      <c r="D186"/>
      <c r="E186"/>
    </row>
    <row r="187" spans="2:5" ht="22.5" customHeight="1" x14ac:dyDescent="0.3">
      <c r="B187" s="147"/>
      <c r="C187"/>
      <c r="D187"/>
      <c r="E187"/>
    </row>
    <row r="188" spans="2:5" ht="22.5" customHeight="1" x14ac:dyDescent="0.3">
      <c r="B188" s="147"/>
      <c r="C188"/>
      <c r="D188"/>
      <c r="E188"/>
    </row>
    <row r="189" spans="2:5" ht="22.5" customHeight="1" x14ac:dyDescent="0.3">
      <c r="B189" s="147"/>
      <c r="C189"/>
      <c r="D189"/>
      <c r="E189"/>
    </row>
    <row r="190" spans="2:5" ht="22.5" customHeight="1" x14ac:dyDescent="0.3">
      <c r="B190" s="147"/>
      <c r="C190"/>
      <c r="D190"/>
      <c r="E190"/>
    </row>
    <row r="191" spans="2:5" ht="22.5" customHeight="1" x14ac:dyDescent="0.3">
      <c r="B191" s="147"/>
      <c r="C191"/>
      <c r="D191"/>
      <c r="E191"/>
    </row>
    <row r="192" spans="2:5" ht="22.5" customHeight="1" x14ac:dyDescent="0.3">
      <c r="B192" s="147"/>
      <c r="C192"/>
      <c r="D192"/>
      <c r="E192"/>
    </row>
    <row r="193" spans="2:5" ht="22.5" customHeight="1" x14ac:dyDescent="0.3">
      <c r="B193" s="147"/>
      <c r="C193"/>
      <c r="D193"/>
      <c r="E193"/>
    </row>
    <row r="194" spans="2:5" ht="22.5" customHeight="1" x14ac:dyDescent="0.3">
      <c r="B194" s="147"/>
      <c r="C194"/>
      <c r="D194"/>
      <c r="E194"/>
    </row>
    <row r="195" spans="2:5" ht="22.5" customHeight="1" x14ac:dyDescent="0.3">
      <c r="B195" s="147"/>
      <c r="C195"/>
      <c r="D195"/>
      <c r="E195"/>
    </row>
    <row r="196" spans="2:5" ht="22.5" customHeight="1" x14ac:dyDescent="0.3">
      <c r="B196" s="147"/>
      <c r="C196"/>
      <c r="D196"/>
      <c r="E196"/>
    </row>
    <row r="197" spans="2:5" ht="22.5" customHeight="1" x14ac:dyDescent="0.3">
      <c r="B197" s="147"/>
      <c r="C197"/>
      <c r="D197"/>
      <c r="E197"/>
    </row>
    <row r="198" spans="2:5" ht="22.5" customHeight="1" x14ac:dyDescent="0.3">
      <c r="B198" s="147"/>
      <c r="C198"/>
      <c r="D198"/>
      <c r="E198"/>
    </row>
    <row r="199" spans="2:5" ht="22.5" customHeight="1" x14ac:dyDescent="0.3">
      <c r="B199" s="147"/>
      <c r="C199"/>
      <c r="D199"/>
      <c r="E199"/>
    </row>
    <row r="200" spans="2:5" ht="22.5" customHeight="1" x14ac:dyDescent="0.3">
      <c r="B200" s="147"/>
      <c r="C200"/>
      <c r="D200"/>
      <c r="E200"/>
    </row>
    <row r="201" spans="2:5" ht="22.5" customHeight="1" x14ac:dyDescent="0.3">
      <c r="B201" s="147"/>
      <c r="C201"/>
      <c r="D201"/>
      <c r="E201"/>
    </row>
    <row r="202" spans="2:5" ht="22.5" customHeight="1" x14ac:dyDescent="0.3">
      <c r="B202" s="147"/>
      <c r="C202"/>
      <c r="D202"/>
      <c r="E202"/>
    </row>
    <row r="203" spans="2:5" ht="22.5" customHeight="1" x14ac:dyDescent="0.3">
      <c r="B203" s="147"/>
      <c r="C203"/>
      <c r="D203"/>
      <c r="E203"/>
    </row>
    <row r="204" spans="2:5" ht="22.5" customHeight="1" x14ac:dyDescent="0.3">
      <c r="B204" s="147"/>
      <c r="C204"/>
      <c r="D204"/>
      <c r="E204"/>
    </row>
    <row r="205" spans="2:5" ht="22.5" customHeight="1" x14ac:dyDescent="0.3">
      <c r="B205" s="147"/>
      <c r="C205"/>
      <c r="D205"/>
      <c r="E205"/>
    </row>
    <row r="206" spans="2:5" ht="22.5" customHeight="1" x14ac:dyDescent="0.3">
      <c r="B206" s="147"/>
      <c r="C206"/>
      <c r="D206"/>
      <c r="E206"/>
    </row>
    <row r="207" spans="2:5" ht="22.5" customHeight="1" x14ac:dyDescent="0.3">
      <c r="B207" s="147"/>
      <c r="C207"/>
      <c r="D207"/>
      <c r="E207"/>
    </row>
    <row r="208" spans="2:5" ht="22.5" customHeight="1" x14ac:dyDescent="0.3">
      <c r="B208" s="147"/>
      <c r="C208"/>
      <c r="D208"/>
      <c r="E208"/>
    </row>
    <row r="209" spans="2:5" ht="22.5" customHeight="1" x14ac:dyDescent="0.3">
      <c r="B209" s="147"/>
      <c r="C209"/>
      <c r="D209"/>
      <c r="E209"/>
    </row>
    <row r="210" spans="2:5" ht="22.5" customHeight="1" x14ac:dyDescent="0.3">
      <c r="B210" s="147"/>
      <c r="C210"/>
      <c r="D210"/>
      <c r="E210"/>
    </row>
    <row r="211" spans="2:5" ht="22.5" customHeight="1" x14ac:dyDescent="0.3">
      <c r="B211" s="147"/>
      <c r="C211"/>
      <c r="D211"/>
      <c r="E211"/>
    </row>
    <row r="212" spans="2:5" ht="22.5" customHeight="1" x14ac:dyDescent="0.3">
      <c r="B212" s="147"/>
      <c r="C212"/>
      <c r="D212"/>
      <c r="E212"/>
    </row>
    <row r="213" spans="2:5" ht="22.5" customHeight="1" x14ac:dyDescent="0.3">
      <c r="B213" s="147"/>
      <c r="C213"/>
      <c r="D213"/>
      <c r="E213"/>
    </row>
    <row r="214" spans="2:5" ht="22.5" customHeight="1" x14ac:dyDescent="0.3">
      <c r="B214" s="147"/>
      <c r="C214"/>
      <c r="D214"/>
      <c r="E214"/>
    </row>
    <row r="215" spans="2:5" ht="22.5" customHeight="1" x14ac:dyDescent="0.3">
      <c r="B215" s="147"/>
      <c r="C215"/>
      <c r="D215"/>
      <c r="E215"/>
    </row>
    <row r="216" spans="2:5" ht="22.5" customHeight="1" x14ac:dyDescent="0.3">
      <c r="B216" s="147"/>
      <c r="C216"/>
      <c r="D216"/>
      <c r="E216"/>
    </row>
    <row r="217" spans="2:5" ht="22.5" customHeight="1" x14ac:dyDescent="0.3">
      <c r="B217" s="147"/>
      <c r="C217"/>
      <c r="D217"/>
      <c r="E217"/>
    </row>
    <row r="218" spans="2:5" ht="22.5" customHeight="1" x14ac:dyDescent="0.3">
      <c r="B218" s="147"/>
      <c r="C218"/>
      <c r="D218"/>
      <c r="E218"/>
    </row>
    <row r="219" spans="2:5" ht="22.5" customHeight="1" x14ac:dyDescent="0.3">
      <c r="B219" s="147"/>
      <c r="C219"/>
      <c r="D219"/>
      <c r="E219"/>
    </row>
    <row r="220" spans="2:5" ht="22.5" customHeight="1" x14ac:dyDescent="0.3">
      <c r="B220" s="147"/>
      <c r="C220"/>
      <c r="D220"/>
      <c r="E220"/>
    </row>
    <row r="221" spans="2:5" ht="22.5" customHeight="1" x14ac:dyDescent="0.3">
      <c r="B221" s="147"/>
      <c r="C221"/>
      <c r="D221"/>
      <c r="E221"/>
    </row>
    <row r="222" spans="2:5" ht="22.5" customHeight="1" x14ac:dyDescent="0.3">
      <c r="B222" s="147"/>
      <c r="C222"/>
      <c r="D222"/>
      <c r="E222"/>
    </row>
    <row r="223" spans="2:5" ht="22.5" customHeight="1" x14ac:dyDescent="0.3">
      <c r="B223" s="147"/>
      <c r="C223"/>
      <c r="D223"/>
      <c r="E223"/>
    </row>
    <row r="224" spans="2:5" ht="22.5" customHeight="1" x14ac:dyDescent="0.3">
      <c r="B224" s="147"/>
      <c r="C224"/>
      <c r="D224"/>
      <c r="E224"/>
    </row>
    <row r="225" spans="2:5" ht="22.5" customHeight="1" x14ac:dyDescent="0.3">
      <c r="B225" s="147"/>
      <c r="C225"/>
      <c r="D225"/>
      <c r="E225"/>
    </row>
    <row r="226" spans="2:5" ht="22.5" customHeight="1" x14ac:dyDescent="0.3">
      <c r="B226" s="147"/>
      <c r="C226"/>
      <c r="D226"/>
      <c r="E226"/>
    </row>
    <row r="227" spans="2:5" ht="22.5" customHeight="1" x14ac:dyDescent="0.3">
      <c r="B227" s="147"/>
      <c r="C227"/>
      <c r="D227"/>
      <c r="E227"/>
    </row>
    <row r="228" spans="2:5" ht="22.5" customHeight="1" x14ac:dyDescent="0.3">
      <c r="B228" s="147"/>
      <c r="C228"/>
      <c r="D228"/>
      <c r="E228"/>
    </row>
    <row r="229" spans="2:5" ht="22.5" customHeight="1" x14ac:dyDescent="0.3">
      <c r="B229" s="147"/>
      <c r="C229"/>
      <c r="D229"/>
      <c r="E229"/>
    </row>
    <row r="230" spans="2:5" ht="22.5" customHeight="1" x14ac:dyDescent="0.3">
      <c r="B230" s="147"/>
      <c r="C230"/>
      <c r="D230"/>
      <c r="E230"/>
    </row>
    <row r="231" spans="2:5" ht="22.5" customHeight="1" x14ac:dyDescent="0.3">
      <c r="B231" s="147"/>
      <c r="C231"/>
      <c r="D231"/>
      <c r="E231"/>
    </row>
    <row r="232" spans="2:5" ht="22.5" customHeight="1" x14ac:dyDescent="0.3">
      <c r="B232" s="147"/>
      <c r="C232"/>
      <c r="D232"/>
      <c r="E232"/>
    </row>
    <row r="233" spans="2:5" ht="22.5" customHeight="1" x14ac:dyDescent="0.3">
      <c r="B233" s="147"/>
      <c r="C233"/>
      <c r="D233"/>
      <c r="E233"/>
    </row>
    <row r="234" spans="2:5" ht="22.5" customHeight="1" x14ac:dyDescent="0.3">
      <c r="B234" s="147"/>
      <c r="C234"/>
      <c r="D234"/>
      <c r="E234"/>
    </row>
    <row r="235" spans="2:5" ht="22.5" customHeight="1" x14ac:dyDescent="0.3">
      <c r="B235" s="147"/>
      <c r="C235"/>
      <c r="D235"/>
      <c r="E235"/>
    </row>
    <row r="236" spans="2:5" ht="22.5" customHeight="1" x14ac:dyDescent="0.3">
      <c r="B236" s="147"/>
      <c r="C236"/>
      <c r="D236"/>
      <c r="E236"/>
    </row>
    <row r="237" spans="2:5" ht="22.5" customHeight="1" x14ac:dyDescent="0.3">
      <c r="B237" s="147"/>
      <c r="C237"/>
      <c r="D237"/>
      <c r="E237"/>
    </row>
    <row r="238" spans="2:5" ht="22.5" customHeight="1" x14ac:dyDescent="0.3">
      <c r="B238" s="147"/>
      <c r="C238"/>
      <c r="D238"/>
      <c r="E238"/>
    </row>
    <row r="239" spans="2:5" ht="22.5" customHeight="1" x14ac:dyDescent="0.3">
      <c r="B239" s="147"/>
      <c r="C239"/>
      <c r="D239"/>
      <c r="E239"/>
    </row>
    <row r="240" spans="2:5" ht="22.5" customHeight="1" x14ac:dyDescent="0.3">
      <c r="B240" s="147"/>
      <c r="C240"/>
      <c r="D240"/>
      <c r="E240"/>
    </row>
    <row r="241" spans="2:5" ht="22.5" customHeight="1" x14ac:dyDescent="0.3">
      <c r="B241" s="147"/>
      <c r="C241"/>
      <c r="D241"/>
      <c r="E241"/>
    </row>
    <row r="242" spans="2:5" ht="22.5" customHeight="1" x14ac:dyDescent="0.3">
      <c r="B242" s="147"/>
      <c r="C242"/>
      <c r="D242"/>
      <c r="E242"/>
    </row>
    <row r="243" spans="2:5" ht="22.5" customHeight="1" x14ac:dyDescent="0.3">
      <c r="B243" s="147"/>
      <c r="C243"/>
      <c r="D243"/>
      <c r="E243"/>
    </row>
    <row r="244" spans="2:5" ht="22.5" customHeight="1" x14ac:dyDescent="0.3">
      <c r="B244" s="147"/>
      <c r="C244"/>
      <c r="D244"/>
      <c r="E244"/>
    </row>
    <row r="245" spans="2:5" ht="22.5" customHeight="1" x14ac:dyDescent="0.3">
      <c r="B245" s="147"/>
      <c r="C245"/>
      <c r="D245"/>
      <c r="E245"/>
    </row>
    <row r="246" spans="2:5" ht="22.5" customHeight="1" x14ac:dyDescent="0.3">
      <c r="B246" s="147"/>
      <c r="C246"/>
      <c r="D246"/>
      <c r="E246"/>
    </row>
    <row r="247" spans="2:5" ht="22.5" customHeight="1" x14ac:dyDescent="0.3">
      <c r="B247" s="147"/>
      <c r="C247"/>
      <c r="D247"/>
      <c r="E247"/>
    </row>
    <row r="248" spans="2:5" ht="22.5" customHeight="1" x14ac:dyDescent="0.3">
      <c r="B248" s="147"/>
      <c r="C248"/>
      <c r="D248"/>
      <c r="E248"/>
    </row>
    <row r="249" spans="2:5" ht="22.5" customHeight="1" x14ac:dyDescent="0.3">
      <c r="B249" s="147"/>
      <c r="C249"/>
      <c r="D249"/>
      <c r="E249"/>
    </row>
    <row r="250" spans="2:5" ht="22.5" customHeight="1" x14ac:dyDescent="0.3">
      <c r="B250" s="147"/>
      <c r="C250"/>
      <c r="D250"/>
      <c r="E250"/>
    </row>
    <row r="251" spans="2:5" ht="22.5" customHeight="1" x14ac:dyDescent="0.3">
      <c r="B251" s="147"/>
      <c r="C251"/>
      <c r="D251"/>
      <c r="E251"/>
    </row>
    <row r="252" spans="2:5" ht="22.5" customHeight="1" x14ac:dyDescent="0.3">
      <c r="B252" s="147"/>
      <c r="C252"/>
      <c r="D252"/>
      <c r="E252"/>
    </row>
    <row r="253" spans="2:5" ht="22.5" customHeight="1" x14ac:dyDescent="0.3">
      <c r="B253" s="147"/>
      <c r="C253"/>
      <c r="D253"/>
      <c r="E253"/>
    </row>
    <row r="254" spans="2:5" ht="22.5" customHeight="1" x14ac:dyDescent="0.3">
      <c r="B254" s="147"/>
      <c r="C254"/>
      <c r="D254"/>
      <c r="E254"/>
    </row>
    <row r="255" spans="2:5" ht="22.5" customHeight="1" x14ac:dyDescent="0.3">
      <c r="B255" s="147"/>
      <c r="C255"/>
      <c r="D255"/>
      <c r="E255"/>
    </row>
    <row r="256" spans="2:5" ht="22.5" customHeight="1" x14ac:dyDescent="0.3">
      <c r="B256" s="147"/>
      <c r="C256"/>
      <c r="D256"/>
      <c r="E256"/>
    </row>
    <row r="257" spans="2:5" ht="22.5" customHeight="1" x14ac:dyDescent="0.3">
      <c r="B257" s="147"/>
      <c r="C257"/>
      <c r="D257"/>
      <c r="E257"/>
    </row>
    <row r="258" spans="2:5" ht="22.5" customHeight="1" x14ac:dyDescent="0.3">
      <c r="B258" s="147"/>
      <c r="C258"/>
      <c r="D258"/>
      <c r="E258"/>
    </row>
    <row r="259" spans="2:5" ht="22.5" customHeight="1" x14ac:dyDescent="0.3">
      <c r="B259" s="147"/>
      <c r="C259"/>
      <c r="D259"/>
      <c r="E259"/>
    </row>
    <row r="260" spans="2:5" ht="22.5" customHeight="1" x14ac:dyDescent="0.3">
      <c r="B260" s="147"/>
      <c r="C260"/>
      <c r="D260"/>
      <c r="E260"/>
    </row>
    <row r="261" spans="2:5" ht="22.5" customHeight="1" x14ac:dyDescent="0.3">
      <c r="B261" s="147"/>
      <c r="C261"/>
      <c r="D261"/>
      <c r="E261"/>
    </row>
    <row r="262" spans="2:5" ht="22.5" customHeight="1" x14ac:dyDescent="0.3">
      <c r="B262" s="147"/>
      <c r="C262"/>
      <c r="D262"/>
      <c r="E262"/>
    </row>
    <row r="263" spans="2:5" ht="22.5" customHeight="1" x14ac:dyDescent="0.3">
      <c r="B263" s="147"/>
      <c r="C263"/>
      <c r="D263"/>
      <c r="E263"/>
    </row>
    <row r="264" spans="2:5" ht="22.5" customHeight="1" x14ac:dyDescent="0.3">
      <c r="B264" s="147"/>
      <c r="C264"/>
      <c r="D264"/>
      <c r="E264"/>
    </row>
    <row r="265" spans="2:5" ht="22.5" customHeight="1" x14ac:dyDescent="0.3">
      <c r="B265" s="147"/>
      <c r="C265"/>
      <c r="D265"/>
      <c r="E265"/>
    </row>
    <row r="266" spans="2:5" ht="22.5" customHeight="1" x14ac:dyDescent="0.3">
      <c r="B266" s="147"/>
      <c r="C266"/>
      <c r="D266"/>
      <c r="E266"/>
    </row>
    <row r="267" spans="2:5" ht="22.5" customHeight="1" x14ac:dyDescent="0.3">
      <c r="B267" s="147"/>
      <c r="C267"/>
      <c r="D267"/>
      <c r="E267"/>
    </row>
    <row r="268" spans="2:5" ht="22.5" customHeight="1" x14ac:dyDescent="0.3">
      <c r="B268" s="147"/>
      <c r="C268"/>
      <c r="D268"/>
      <c r="E268"/>
    </row>
    <row r="269" spans="2:5" ht="22.5" customHeight="1" x14ac:dyDescent="0.3">
      <c r="B269" s="147"/>
      <c r="C269"/>
      <c r="D269"/>
      <c r="E269"/>
    </row>
    <row r="270" spans="2:5" ht="22.5" customHeight="1" x14ac:dyDescent="0.3">
      <c r="B270" s="147"/>
      <c r="C270"/>
      <c r="D270"/>
      <c r="E270"/>
    </row>
    <row r="271" spans="2:5" ht="22.5" customHeight="1" x14ac:dyDescent="0.3">
      <c r="B271" s="147"/>
      <c r="C271"/>
      <c r="D271"/>
      <c r="E271"/>
    </row>
    <row r="272" spans="2:5" ht="22.5" customHeight="1" x14ac:dyDescent="0.3">
      <c r="B272" s="147"/>
      <c r="C272"/>
      <c r="D272"/>
      <c r="E272"/>
    </row>
    <row r="273" spans="2:5" ht="22.5" customHeight="1" x14ac:dyDescent="0.3">
      <c r="B273" s="147"/>
      <c r="C273"/>
      <c r="D273"/>
      <c r="E273"/>
    </row>
    <row r="274" spans="2:5" ht="22.5" customHeight="1" x14ac:dyDescent="0.3">
      <c r="B274" s="147"/>
      <c r="C274"/>
      <c r="D274"/>
      <c r="E274"/>
    </row>
    <row r="275" spans="2:5" ht="22.5" customHeight="1" x14ac:dyDescent="0.3">
      <c r="B275" s="147"/>
      <c r="C275"/>
      <c r="D275"/>
      <c r="E275"/>
    </row>
    <row r="276" spans="2:5" ht="22.5" customHeight="1" x14ac:dyDescent="0.3">
      <c r="B276" s="147"/>
      <c r="C276"/>
      <c r="D276"/>
      <c r="E276"/>
    </row>
    <row r="277" spans="2:5" ht="22.5" customHeight="1" x14ac:dyDescent="0.3">
      <c r="B277" s="147"/>
      <c r="C277"/>
      <c r="D277"/>
      <c r="E277"/>
    </row>
    <row r="278" spans="2:5" ht="22.5" customHeight="1" x14ac:dyDescent="0.3">
      <c r="B278" s="147"/>
      <c r="C278"/>
      <c r="D278"/>
      <c r="E278"/>
    </row>
    <row r="279" spans="2:5" ht="22.5" customHeight="1" x14ac:dyDescent="0.3">
      <c r="B279" s="147"/>
      <c r="C279"/>
      <c r="D279"/>
      <c r="E279"/>
    </row>
    <row r="280" spans="2:5" ht="22.5" customHeight="1" x14ac:dyDescent="0.3">
      <c r="B280" s="147"/>
      <c r="C280"/>
      <c r="D280"/>
      <c r="E280"/>
    </row>
    <row r="281" spans="2:5" ht="22.5" customHeight="1" x14ac:dyDescent="0.3">
      <c r="B281" s="147"/>
      <c r="C281"/>
      <c r="D281"/>
      <c r="E281"/>
    </row>
    <row r="282" spans="2:5" ht="22.5" customHeight="1" x14ac:dyDescent="0.3">
      <c r="B282" s="147"/>
      <c r="C282"/>
      <c r="D282"/>
      <c r="E282"/>
    </row>
    <row r="283" spans="2:5" ht="22.5" customHeight="1" x14ac:dyDescent="0.3">
      <c r="B283" s="147"/>
      <c r="C283"/>
      <c r="D283"/>
      <c r="E283"/>
    </row>
    <row r="284" spans="2:5" ht="22.5" customHeight="1" x14ac:dyDescent="0.3">
      <c r="B284" s="147"/>
      <c r="C284"/>
      <c r="D284"/>
      <c r="E284"/>
    </row>
    <row r="285" spans="2:5" ht="22.5" customHeight="1" x14ac:dyDescent="0.3">
      <c r="B285" s="147"/>
      <c r="C285"/>
      <c r="D285"/>
      <c r="E285"/>
    </row>
    <row r="286" spans="2:5" ht="22.5" customHeight="1" x14ac:dyDescent="0.3">
      <c r="B286" s="147"/>
      <c r="C286"/>
      <c r="D286"/>
      <c r="E286"/>
    </row>
    <row r="287" spans="2:5" ht="22.5" customHeight="1" x14ac:dyDescent="0.3">
      <c r="B287" s="147"/>
      <c r="C287"/>
      <c r="D287"/>
      <c r="E287"/>
    </row>
    <row r="288" spans="2:5" ht="22.5" customHeight="1" x14ac:dyDescent="0.3">
      <c r="B288" s="147"/>
      <c r="C288"/>
      <c r="D288"/>
      <c r="E288"/>
    </row>
    <row r="289" spans="2:5" ht="22.5" customHeight="1" x14ac:dyDescent="0.3">
      <c r="B289" s="147"/>
      <c r="C289"/>
      <c r="D289"/>
      <c r="E289"/>
    </row>
    <row r="290" spans="2:5" ht="22.5" customHeight="1" x14ac:dyDescent="0.3">
      <c r="B290" s="147"/>
      <c r="C290"/>
      <c r="D290"/>
      <c r="E290"/>
    </row>
    <row r="291" spans="2:5" ht="22.5" customHeight="1" x14ac:dyDescent="0.3">
      <c r="B291" s="147"/>
      <c r="C291"/>
      <c r="D291"/>
      <c r="E291"/>
    </row>
    <row r="292" spans="2:5" ht="22.5" customHeight="1" x14ac:dyDescent="0.3">
      <c r="B292" s="147"/>
      <c r="C292"/>
      <c r="D292"/>
      <c r="E292"/>
    </row>
    <row r="293" spans="2:5" ht="22.5" customHeight="1" x14ac:dyDescent="0.3">
      <c r="B293" s="147"/>
      <c r="C293"/>
      <c r="D293"/>
      <c r="E293"/>
    </row>
    <row r="294" spans="2:5" ht="22.5" customHeight="1" x14ac:dyDescent="0.3">
      <c r="B294" s="147"/>
      <c r="C294"/>
      <c r="D294"/>
      <c r="E294"/>
    </row>
    <row r="295" spans="2:5" ht="22.5" customHeight="1" x14ac:dyDescent="0.3">
      <c r="B295" s="147"/>
      <c r="C295"/>
      <c r="D295"/>
      <c r="E295"/>
    </row>
    <row r="296" spans="2:5" ht="22.5" customHeight="1" x14ac:dyDescent="0.3">
      <c r="B296" s="147"/>
      <c r="C296"/>
      <c r="D296"/>
      <c r="E296"/>
    </row>
    <row r="297" spans="2:5" ht="22.5" customHeight="1" x14ac:dyDescent="0.3">
      <c r="B297" s="147"/>
      <c r="C297"/>
      <c r="D297"/>
      <c r="E297"/>
    </row>
    <row r="298" spans="2:5" ht="22.5" customHeight="1" x14ac:dyDescent="0.3">
      <c r="B298" s="147"/>
      <c r="C298"/>
      <c r="D298"/>
      <c r="E298"/>
    </row>
    <row r="299" spans="2:5" ht="22.5" customHeight="1" x14ac:dyDescent="0.3">
      <c r="B299" s="147"/>
      <c r="C299"/>
      <c r="D299"/>
      <c r="E299"/>
    </row>
    <row r="300" spans="2:5" ht="22.5" customHeight="1" x14ac:dyDescent="0.3">
      <c r="B300" s="147"/>
      <c r="C300"/>
      <c r="D300"/>
      <c r="E300"/>
    </row>
    <row r="301" spans="2:5" ht="22.5" customHeight="1" x14ac:dyDescent="0.3">
      <c r="B301" s="147"/>
      <c r="C301"/>
      <c r="D301"/>
      <c r="E301"/>
    </row>
    <row r="302" spans="2:5" ht="22.5" customHeight="1" x14ac:dyDescent="0.3">
      <c r="B302" s="147"/>
      <c r="C302"/>
      <c r="D302"/>
      <c r="E302"/>
    </row>
    <row r="303" spans="2:5" ht="22.5" customHeight="1" x14ac:dyDescent="0.3">
      <c r="B303" s="147"/>
      <c r="C303"/>
      <c r="D303"/>
      <c r="E303"/>
    </row>
    <row r="304" spans="2:5" ht="22.5" customHeight="1" x14ac:dyDescent="0.3">
      <c r="B304" s="147"/>
      <c r="C304"/>
      <c r="D304"/>
      <c r="E304"/>
    </row>
    <row r="305" spans="2:5" ht="22.5" customHeight="1" x14ac:dyDescent="0.3">
      <c r="B305" s="147"/>
      <c r="C305"/>
      <c r="D305"/>
      <c r="E305"/>
    </row>
    <row r="306" spans="2:5" ht="22.5" customHeight="1" x14ac:dyDescent="0.3">
      <c r="B306" s="147"/>
      <c r="C306"/>
      <c r="D306"/>
      <c r="E306"/>
    </row>
    <row r="307" spans="2:5" ht="22.5" customHeight="1" x14ac:dyDescent="0.3">
      <c r="B307" s="147"/>
      <c r="C307"/>
      <c r="D307"/>
      <c r="E307"/>
    </row>
    <row r="308" spans="2:5" ht="22.5" customHeight="1" x14ac:dyDescent="0.3">
      <c r="B308" s="147"/>
      <c r="C308"/>
      <c r="D308"/>
      <c r="E308"/>
    </row>
    <row r="309" spans="2:5" ht="22.5" customHeight="1" x14ac:dyDescent="0.3">
      <c r="B309" s="147"/>
      <c r="C309"/>
      <c r="D309"/>
      <c r="E309"/>
    </row>
    <row r="310" spans="2:5" ht="22.5" customHeight="1" x14ac:dyDescent="0.3">
      <c r="B310"/>
      <c r="C310"/>
      <c r="D310"/>
      <c r="E310"/>
    </row>
    <row r="311" spans="2:5" ht="22.5" customHeight="1" x14ac:dyDescent="0.3">
      <c r="B311"/>
      <c r="C311"/>
      <c r="D311"/>
      <c r="E311"/>
    </row>
    <row r="312" spans="2:5" ht="22.5" customHeight="1" x14ac:dyDescent="0.3">
      <c r="B312"/>
      <c r="C312"/>
      <c r="D312"/>
      <c r="E312"/>
    </row>
    <row r="313" spans="2:5" ht="22.5" customHeight="1" x14ac:dyDescent="0.3">
      <c r="B313"/>
      <c r="C313"/>
      <c r="D313"/>
      <c r="E313"/>
    </row>
    <row r="314" spans="2:5" ht="22.5" customHeight="1" x14ac:dyDescent="0.3">
      <c r="B314"/>
      <c r="C314"/>
      <c r="D314"/>
      <c r="E314"/>
    </row>
    <row r="315" spans="2:5" ht="22.5" customHeight="1" x14ac:dyDescent="0.3">
      <c r="B315"/>
      <c r="C315"/>
      <c r="D315"/>
      <c r="E315"/>
    </row>
    <row r="316" spans="2:5" ht="22.5" customHeight="1" x14ac:dyDescent="0.3">
      <c r="B316"/>
      <c r="C316"/>
      <c r="D316"/>
      <c r="E316"/>
    </row>
    <row r="317" spans="2:5" ht="22.5" customHeight="1" x14ac:dyDescent="0.3">
      <c r="B317"/>
      <c r="C317"/>
      <c r="D317"/>
      <c r="E317"/>
    </row>
    <row r="318" spans="2:5" ht="22.5" customHeight="1" x14ac:dyDescent="0.3">
      <c r="B318"/>
      <c r="C318"/>
      <c r="D318"/>
      <c r="E318"/>
    </row>
    <row r="319" spans="2:5" ht="22.5" customHeight="1" x14ac:dyDescent="0.3">
      <c r="B319"/>
      <c r="C319"/>
      <c r="D319"/>
      <c r="E319"/>
    </row>
    <row r="320" spans="2:5" ht="22.5" customHeight="1" x14ac:dyDescent="0.3">
      <c r="B320"/>
      <c r="C320"/>
      <c r="D320"/>
      <c r="E320"/>
    </row>
    <row r="321" customFormat="1" ht="22.5" customHeight="1" x14ac:dyDescent="0.3"/>
    <row r="322" customFormat="1" ht="22.5" customHeight="1" x14ac:dyDescent="0.3"/>
    <row r="323" customFormat="1" ht="22.5" customHeight="1" x14ac:dyDescent="0.3"/>
    <row r="324" customFormat="1" ht="22.5" customHeight="1" x14ac:dyDescent="0.3"/>
    <row r="325" customFormat="1" ht="22.5" customHeight="1" x14ac:dyDescent="0.3"/>
    <row r="326" customFormat="1" ht="22.5" customHeight="1" x14ac:dyDescent="0.3"/>
    <row r="327" customFormat="1" ht="22.5" customHeight="1" x14ac:dyDescent="0.3"/>
    <row r="328" customFormat="1" ht="22.5" customHeight="1" x14ac:dyDescent="0.3"/>
    <row r="329" customFormat="1" ht="22.5" customHeight="1" x14ac:dyDescent="0.3"/>
    <row r="330" customFormat="1" ht="22.5" customHeight="1" x14ac:dyDescent="0.3"/>
    <row r="331" customFormat="1" ht="22.5" customHeight="1" x14ac:dyDescent="0.3"/>
    <row r="332" customFormat="1" ht="22.5" customHeight="1" x14ac:dyDescent="0.3"/>
    <row r="333" customFormat="1" ht="22.5" customHeight="1" x14ac:dyDescent="0.3"/>
    <row r="334" customFormat="1" ht="22.5" customHeight="1" x14ac:dyDescent="0.3"/>
    <row r="335" customFormat="1" ht="22.5" customHeight="1" x14ac:dyDescent="0.3"/>
    <row r="336" customFormat="1" ht="22.5" customHeight="1" x14ac:dyDescent="0.3"/>
    <row r="337" customFormat="1" ht="22.5" customHeight="1" x14ac:dyDescent="0.3"/>
    <row r="338" customFormat="1" ht="22.5" customHeight="1" x14ac:dyDescent="0.3"/>
    <row r="339" customFormat="1" ht="22.5" customHeight="1" x14ac:dyDescent="0.3"/>
    <row r="340" customFormat="1" ht="22.5" customHeight="1" x14ac:dyDescent="0.3"/>
    <row r="341" customFormat="1" ht="22.5" customHeight="1" x14ac:dyDescent="0.3"/>
    <row r="342" customFormat="1" ht="22.5" customHeight="1" x14ac:dyDescent="0.3"/>
    <row r="343" customFormat="1" ht="22.5" customHeight="1" x14ac:dyDescent="0.3"/>
    <row r="344" customFormat="1" ht="22.5" customHeight="1" x14ac:dyDescent="0.3"/>
    <row r="345" customFormat="1" ht="22.5" customHeight="1" x14ac:dyDescent="0.3"/>
    <row r="346" customFormat="1" ht="22.5" customHeight="1" x14ac:dyDescent="0.3"/>
    <row r="347" customFormat="1" ht="22.5" customHeight="1" x14ac:dyDescent="0.3"/>
    <row r="348" customFormat="1" ht="22.5" customHeight="1" x14ac:dyDescent="0.3"/>
    <row r="349" customFormat="1" ht="22.5" customHeight="1" x14ac:dyDescent="0.3"/>
    <row r="350" customFormat="1" ht="22.5" customHeight="1" x14ac:dyDescent="0.3"/>
    <row r="351" customFormat="1" ht="22.5" customHeight="1" x14ac:dyDescent="0.3"/>
    <row r="352" customFormat="1" ht="22.5" customHeight="1" x14ac:dyDescent="0.3"/>
    <row r="353" customFormat="1" ht="22.5" customHeight="1" x14ac:dyDescent="0.3"/>
    <row r="354" customFormat="1" ht="22.5" customHeight="1" x14ac:dyDescent="0.3"/>
    <row r="355" customFormat="1" ht="22.5" customHeight="1" x14ac:dyDescent="0.3"/>
    <row r="356" customFormat="1" ht="22.5" customHeight="1" x14ac:dyDescent="0.3"/>
    <row r="357" customFormat="1" ht="22.5" customHeight="1" x14ac:dyDescent="0.3"/>
    <row r="358" customFormat="1" ht="22.5" customHeight="1" x14ac:dyDescent="0.3"/>
    <row r="359" customFormat="1" ht="22.5" customHeight="1" x14ac:dyDescent="0.3"/>
    <row r="360" customFormat="1" ht="22.5" customHeight="1" x14ac:dyDescent="0.3"/>
    <row r="361" customFormat="1" ht="22.5" customHeight="1" x14ac:dyDescent="0.3"/>
    <row r="362" customFormat="1" ht="22.5" customHeight="1" x14ac:dyDescent="0.3"/>
    <row r="363" customFormat="1" ht="22.5" customHeight="1" x14ac:dyDescent="0.3"/>
    <row r="364" customFormat="1" ht="22.5" customHeight="1" x14ac:dyDescent="0.3"/>
    <row r="365" customFormat="1" ht="22.5" customHeight="1" x14ac:dyDescent="0.3"/>
    <row r="366" customFormat="1" ht="22.5" customHeight="1" x14ac:dyDescent="0.3"/>
    <row r="367" customFormat="1" ht="22.5" customHeight="1" x14ac:dyDescent="0.3"/>
    <row r="368" customFormat="1" ht="22.5" customHeight="1" x14ac:dyDescent="0.3"/>
    <row r="369" spans="2:5" ht="22.5" customHeight="1" x14ac:dyDescent="0.3">
      <c r="B369"/>
      <c r="C369"/>
      <c r="D369"/>
      <c r="E369"/>
    </row>
    <row r="370" spans="2:5" ht="22.5" customHeight="1" x14ac:dyDescent="0.3">
      <c r="B370"/>
      <c r="C370"/>
      <c r="D370"/>
      <c r="E370"/>
    </row>
    <row r="371" spans="2:5" ht="22.5" customHeight="1" x14ac:dyDescent="0.3">
      <c r="B371"/>
      <c r="C371"/>
      <c r="D371"/>
      <c r="E371"/>
    </row>
    <row r="372" spans="2:5" ht="22.5" customHeight="1" x14ac:dyDescent="0.3">
      <c r="B372"/>
      <c r="C372"/>
      <c r="D372"/>
      <c r="E372"/>
    </row>
    <row r="373" spans="2:5" ht="22.5" customHeight="1" x14ac:dyDescent="0.3">
      <c r="B373"/>
      <c r="C373"/>
      <c r="D373"/>
      <c r="E373"/>
    </row>
    <row r="374" spans="2:5" ht="22.5" customHeight="1" x14ac:dyDescent="0.3">
      <c r="B374"/>
      <c r="C374"/>
      <c r="D374"/>
      <c r="E374"/>
    </row>
    <row r="375" spans="2:5" ht="22.5" customHeight="1" x14ac:dyDescent="0.3">
      <c r="C375"/>
      <c r="D375"/>
      <c r="E375"/>
    </row>
    <row r="376" spans="2:5" ht="22.5" customHeight="1" x14ac:dyDescent="0.3">
      <c r="C376"/>
      <c r="D376"/>
      <c r="E376"/>
    </row>
    <row r="377" spans="2:5" ht="22.5" customHeight="1" x14ac:dyDescent="0.3">
      <c r="C377"/>
      <c r="D377"/>
      <c r="E377"/>
    </row>
    <row r="378" spans="2:5" ht="22.5" customHeight="1" x14ac:dyDescent="0.3">
      <c r="C378"/>
      <c r="D378"/>
      <c r="E378"/>
    </row>
    <row r="379" spans="2:5" ht="22.5" customHeight="1" x14ac:dyDescent="0.3">
      <c r="C379"/>
      <c r="D379"/>
      <c r="E379"/>
    </row>
    <row r="380" spans="2:5" ht="22.5" customHeight="1" x14ac:dyDescent="0.3">
      <c r="C380"/>
      <c r="D380"/>
      <c r="E380"/>
    </row>
  </sheetData>
  <mergeCells count="2">
    <mergeCell ref="A2:G2"/>
    <mergeCell ref="A1:M1"/>
  </mergeCells>
  <conditionalFormatting sqref="B1:B1048576">
    <cfRule type="duplicateValues" dxfId="237" priority="1"/>
  </conditionalFormatting>
  <conditionalFormatting sqref="B49:B1048576 B1:B24">
    <cfRule type="duplicateValues" dxfId="236" priority="5361"/>
    <cfRule type="duplicateValues" dxfId="235" priority="11"/>
    <cfRule type="duplicateValues" dxfId="234" priority="5360"/>
    <cfRule type="duplicateValues" dxfId="233" priority="5359"/>
    <cfRule type="duplicateValues" dxfId="232" priority="5358"/>
    <cfRule type="duplicateValues" dxfId="231" priority="5357"/>
  </conditionalFormatting>
  <conditionalFormatting sqref="B49:B1048576 B1:B25">
    <cfRule type="duplicateValues" dxfId="230" priority="5372"/>
  </conditionalFormatting>
  <conditionalFormatting sqref="B49:B1048576">
    <cfRule type="duplicateValues" dxfId="229" priority="5375"/>
    <cfRule type="duplicateValues" dxfId="228" priority="10"/>
    <cfRule type="duplicateValues" dxfId="227" priority="13"/>
    <cfRule type="duplicateValues" dxfId="226" priority="14"/>
  </conditionalFormatting>
  <conditionalFormatting sqref="B50:B1048576 B1:B24">
    <cfRule type="duplicateValues" dxfId="225" priority="16"/>
    <cfRule type="duplicateValues" dxfId="224" priority="17"/>
    <cfRule type="duplicateValues" dxfId="223" priority="32"/>
    <cfRule type="duplicateValues" dxfId="222" priority="33"/>
    <cfRule type="duplicateValues" dxfId="221" priority="34"/>
    <cfRule type="duplicateValues" dxfId="220" priority="35"/>
    <cfRule type="duplicateValues" dxfId="219" priority="36"/>
    <cfRule type="duplicateValues" dxfId="218" priority="37"/>
    <cfRule type="duplicateValues" dxfId="217" priority="46"/>
    <cfRule type="duplicateValues" dxfId="216" priority="47"/>
    <cfRule type="duplicateValues" dxfId="215" priority="4747"/>
    <cfRule type="duplicateValues" dxfId="214" priority="4748"/>
  </conditionalFormatting>
  <conditionalFormatting sqref="B50:B1048576 B2:B3 B22:B24">
    <cfRule type="duplicateValues" dxfId="213" priority="4755"/>
  </conditionalFormatting>
  <conditionalFormatting sqref="B50:B1048576 B3 B22:B24">
    <cfRule type="duplicateValues" dxfId="212" priority="4763"/>
  </conditionalFormatting>
  <conditionalFormatting sqref="B50:B1048576">
    <cfRule type="duplicateValues" dxfId="211" priority="15"/>
    <cfRule type="duplicateValues" dxfId="210" priority="4760"/>
  </conditionalFormatting>
  <conditionalFormatting sqref="C25:C27">
    <cfRule type="duplicateValues" dxfId="209" priority="18"/>
    <cfRule type="duplicateValues" dxfId="208" priority="19"/>
    <cfRule type="duplicateValues" dxfId="207" priority="20"/>
    <cfRule type="duplicateValues" dxfId="206" priority="21"/>
    <cfRule type="duplicateValues" dxfId="205" priority="22"/>
    <cfRule type="duplicateValues" dxfId="204" priority="28"/>
    <cfRule type="duplicateValues" dxfId="203" priority="27"/>
    <cfRule type="duplicateValues" dxfId="202" priority="26"/>
    <cfRule type="duplicateValues" dxfId="201" priority="25"/>
    <cfRule type="duplicateValues" dxfId="200" priority="24"/>
    <cfRule type="duplicateValues" dxfId="199" priority="23"/>
    <cfRule type="duplicateValues" dxfId="198" priority="29"/>
  </conditionalFormatting>
  <conditionalFormatting sqref="D27:E27 B1:B1048576">
    <cfRule type="duplicateValues" dxfId="197" priority="2"/>
  </conditionalFormatting>
  <printOptions horizontalCentered="1"/>
  <pageMargins left="0" right="0" top="0.5" bottom="0" header="0" footer="0"/>
  <pageSetup scale="5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DAA1-A217-40D2-98BD-BD2A117A85B7}">
  <dimension ref="A1:I6"/>
  <sheetViews>
    <sheetView view="pageBreakPreview" zoomScale="102" zoomScaleNormal="87" zoomScaleSheetLayoutView="115" workbookViewId="0">
      <selection activeCell="H5" sqref="H5"/>
    </sheetView>
  </sheetViews>
  <sheetFormatPr defaultColWidth="17.44140625" defaultRowHeight="18.75" customHeight="1" x14ac:dyDescent="0.3"/>
  <cols>
    <col min="1" max="1" width="5.88671875" customWidth="1"/>
    <col min="4" max="4" width="14" customWidth="1"/>
    <col min="5" max="5" width="15.77734375" customWidth="1"/>
    <col min="6" max="6" width="8.109375" customWidth="1"/>
    <col min="7" max="7" width="13.88671875" customWidth="1"/>
    <col min="8" max="8" width="22.44140625" customWidth="1"/>
    <col min="9" max="9" width="18.44140625" customWidth="1"/>
  </cols>
  <sheetData>
    <row r="1" spans="1:9" ht="37.5" customHeight="1" x14ac:dyDescent="0.3">
      <c r="A1" s="327" t="s">
        <v>361</v>
      </c>
      <c r="B1" s="328"/>
      <c r="C1" s="328"/>
      <c r="D1" s="328"/>
      <c r="E1" s="328"/>
      <c r="F1" s="328"/>
      <c r="G1" s="328"/>
      <c r="H1" s="328"/>
      <c r="I1" s="328"/>
    </row>
    <row r="2" spans="1:9" ht="11.25" customHeight="1" thickBot="1" x14ac:dyDescent="0.35">
      <c r="A2" s="45"/>
      <c r="B2" s="45"/>
      <c r="C2" s="45"/>
      <c r="D2" s="45"/>
      <c r="E2" s="45"/>
      <c r="F2" s="45"/>
      <c r="G2" s="45"/>
      <c r="H2" s="45"/>
    </row>
    <row r="3" spans="1:9" ht="29.4" customHeight="1" thickTop="1" thickBot="1" x14ac:dyDescent="0.35">
      <c r="A3" s="40" t="s">
        <v>5</v>
      </c>
      <c r="B3" s="40" t="s">
        <v>11</v>
      </c>
      <c r="C3" s="40" t="s">
        <v>65</v>
      </c>
      <c r="D3" s="40" t="s">
        <v>13</v>
      </c>
      <c r="E3" s="40" t="s">
        <v>197</v>
      </c>
      <c r="F3" s="40" t="s">
        <v>3</v>
      </c>
      <c r="G3" s="40" t="s">
        <v>14</v>
      </c>
      <c r="H3" s="243" t="s">
        <v>357</v>
      </c>
      <c r="I3" s="240" t="s">
        <v>255</v>
      </c>
    </row>
    <row r="4" spans="1:9" ht="18.75" customHeight="1" thickTop="1" thickBot="1" x14ac:dyDescent="0.35">
      <c r="A4" s="42">
        <f>ROW()-3</f>
        <v>1</v>
      </c>
      <c r="B4" s="42" t="s">
        <v>261</v>
      </c>
      <c r="C4" s="42" t="s">
        <v>207</v>
      </c>
      <c r="D4" s="42" t="s">
        <v>132</v>
      </c>
      <c r="E4" s="42" t="s">
        <v>232</v>
      </c>
      <c r="F4" s="42">
        <v>373</v>
      </c>
      <c r="G4" s="42">
        <v>0</v>
      </c>
      <c r="H4" s="43">
        <v>57356585</v>
      </c>
      <c r="I4" s="43">
        <v>2867829.25</v>
      </c>
    </row>
    <row r="5" spans="1:9" ht="22.8" customHeight="1" thickTop="1" thickBot="1" x14ac:dyDescent="0.35">
      <c r="B5" s="245"/>
      <c r="H5" s="242"/>
    </row>
    <row r="6" spans="1:9" ht="18.75" customHeight="1" thickTop="1" x14ac:dyDescent="0.3"/>
  </sheetData>
  <mergeCells count="1">
    <mergeCell ref="A1:I1"/>
  </mergeCells>
  <printOptions horizontalCentered="1"/>
  <pageMargins left="0" right="0" top="1" bottom="0" header="0.05" footer="0"/>
  <pageSetup scale="7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28FF-89E4-4D14-968D-7DF5A515A86A}">
  <dimension ref="A1:J5"/>
  <sheetViews>
    <sheetView tabSelected="1" view="pageBreakPreview" zoomScale="102" zoomScaleNormal="87" zoomScaleSheetLayoutView="115" workbookViewId="0">
      <selection activeCell="I5" sqref="I5"/>
    </sheetView>
  </sheetViews>
  <sheetFormatPr defaultColWidth="17.44140625" defaultRowHeight="18.75" customHeight="1" x14ac:dyDescent="0.3"/>
  <cols>
    <col min="1" max="1" width="5.88671875" customWidth="1"/>
    <col min="4" max="4" width="14" customWidth="1"/>
    <col min="5" max="5" width="24.109375" customWidth="1"/>
    <col min="6" max="6" width="8.109375" customWidth="1"/>
    <col min="7" max="7" width="13.88671875" customWidth="1"/>
    <col min="8" max="8" width="12.44140625" customWidth="1"/>
    <col min="9" max="9" width="20.44140625" customWidth="1"/>
    <col min="10" max="10" width="15.5546875" customWidth="1"/>
  </cols>
  <sheetData>
    <row r="1" spans="1:10" ht="37.5" customHeight="1" x14ac:dyDescent="0.3">
      <c r="A1" s="327" t="s">
        <v>374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11.25" customHeight="1" thickBot="1" x14ac:dyDescent="0.35">
      <c r="A2" s="45"/>
      <c r="B2" s="45"/>
      <c r="C2" s="45"/>
      <c r="D2" s="45"/>
      <c r="E2" s="45"/>
      <c r="F2" s="45"/>
      <c r="G2" s="45"/>
      <c r="H2" s="45"/>
    </row>
    <row r="3" spans="1:10" ht="29.4" customHeight="1" thickTop="1" thickBot="1" x14ac:dyDescent="0.35">
      <c r="A3" s="40" t="s">
        <v>5</v>
      </c>
      <c r="B3" s="40" t="s">
        <v>11</v>
      </c>
      <c r="C3" s="40" t="s">
        <v>65</v>
      </c>
      <c r="D3" s="40" t="s">
        <v>13</v>
      </c>
      <c r="E3" s="40" t="s">
        <v>197</v>
      </c>
      <c r="F3" s="40" t="s">
        <v>3</v>
      </c>
      <c r="G3" s="40" t="s">
        <v>14</v>
      </c>
      <c r="H3" s="40" t="s">
        <v>378</v>
      </c>
      <c r="I3" s="240" t="s">
        <v>357</v>
      </c>
      <c r="J3" s="241" t="s">
        <v>255</v>
      </c>
    </row>
    <row r="4" spans="1:10" ht="21.6" customHeight="1" thickTop="1" thickBot="1" x14ac:dyDescent="0.35">
      <c r="A4" s="42">
        <f>ROW()-3</f>
        <v>1</v>
      </c>
      <c r="B4" s="30" t="s">
        <v>375</v>
      </c>
      <c r="C4" s="30" t="s">
        <v>376</v>
      </c>
      <c r="D4" s="30" t="s">
        <v>118</v>
      </c>
      <c r="E4" s="30" t="s">
        <v>377</v>
      </c>
      <c r="F4" s="30">
        <v>265</v>
      </c>
      <c r="G4" s="30">
        <v>344.9</v>
      </c>
      <c r="H4" s="35">
        <v>0</v>
      </c>
      <c r="I4" s="35">
        <v>46968735.079999998</v>
      </c>
      <c r="J4" s="35">
        <v>2348436.75</v>
      </c>
    </row>
    <row r="5" spans="1:10" ht="22.8" customHeight="1" thickTop="1" x14ac:dyDescent="0.3">
      <c r="B5" s="245"/>
      <c r="I5" s="244"/>
    </row>
  </sheetData>
  <mergeCells count="1">
    <mergeCell ref="A1:J1"/>
  </mergeCells>
  <printOptions horizontalCentered="1"/>
  <pageMargins left="0" right="0" top="1" bottom="0" header="0.05" footer="0"/>
  <pageSetup scale="68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320B-15CF-47D6-B4BA-AC2BFBC05D78}">
  <sheetPr>
    <pageSetUpPr fitToPage="1"/>
  </sheetPr>
  <dimension ref="A1:J18"/>
  <sheetViews>
    <sheetView view="pageBreakPreview" zoomScale="88" zoomScaleNormal="101" workbookViewId="0">
      <selection activeCell="M8" sqref="M8"/>
    </sheetView>
  </sheetViews>
  <sheetFormatPr defaultColWidth="13.6640625" defaultRowHeight="22.5" customHeight="1" x14ac:dyDescent="0.3"/>
  <cols>
    <col min="1" max="1" width="5.109375" customWidth="1"/>
    <col min="2" max="2" width="17.88671875" customWidth="1"/>
    <col min="3" max="3" width="11.88671875" customWidth="1"/>
    <col min="4" max="4" width="16" customWidth="1"/>
    <col min="5" max="5" width="11.5546875" customWidth="1"/>
    <col min="6" max="6" width="10.33203125" customWidth="1"/>
    <col min="8" max="8" width="13" customWidth="1"/>
    <col min="9" max="9" width="20.88671875" customWidth="1"/>
  </cols>
  <sheetData>
    <row r="1" spans="1:10" ht="30" customHeight="1" x14ac:dyDescent="0.3">
      <c r="A1" s="329" t="s">
        <v>362</v>
      </c>
      <c r="B1" s="329"/>
      <c r="C1" s="329"/>
      <c r="D1" s="329"/>
      <c r="E1" s="329"/>
      <c r="F1" s="329"/>
      <c r="G1" s="329"/>
      <c r="H1" s="329"/>
      <c r="I1" s="329"/>
      <c r="J1" s="329"/>
    </row>
    <row r="2" spans="1:10" ht="13.5" customHeight="1" thickBot="1" x14ac:dyDescent="0.35">
      <c r="A2" s="324"/>
      <c r="B2" s="324"/>
      <c r="C2" s="324"/>
      <c r="D2" s="324"/>
      <c r="E2" s="324"/>
      <c r="F2" s="324"/>
    </row>
    <row r="3" spans="1:10" s="3" customFormat="1" ht="22.5" customHeight="1" thickTop="1" thickBot="1" x14ac:dyDescent="0.35">
      <c r="A3" s="100" t="s">
        <v>5</v>
      </c>
      <c r="B3" s="100" t="s">
        <v>71</v>
      </c>
      <c r="C3" s="100" t="s">
        <v>363</v>
      </c>
      <c r="D3" s="100" t="s">
        <v>224</v>
      </c>
      <c r="E3" s="100" t="s">
        <v>364</v>
      </c>
      <c r="F3" s="100" t="s">
        <v>13</v>
      </c>
      <c r="G3" s="100" t="s">
        <v>365</v>
      </c>
      <c r="H3" s="100" t="s">
        <v>4</v>
      </c>
      <c r="I3" s="243" t="s">
        <v>357</v>
      </c>
      <c r="J3" s="240" t="s">
        <v>255</v>
      </c>
    </row>
    <row r="4" spans="1:10" ht="19.2" customHeight="1" thickTop="1" thickBot="1" x14ac:dyDescent="0.35">
      <c r="A4" s="30">
        <f>ROW()-3</f>
        <v>1</v>
      </c>
      <c r="B4" s="30" t="s">
        <v>96</v>
      </c>
      <c r="C4" s="30">
        <v>2002</v>
      </c>
      <c r="D4" s="30" t="s">
        <v>268</v>
      </c>
      <c r="E4" s="106">
        <v>12</v>
      </c>
      <c r="F4" s="30" t="s">
        <v>116</v>
      </c>
      <c r="G4" s="35">
        <v>204</v>
      </c>
      <c r="H4" s="35">
        <v>0</v>
      </c>
      <c r="I4" s="35">
        <v>25484518.91</v>
      </c>
      <c r="J4" s="35">
        <v>1274225.95</v>
      </c>
    </row>
    <row r="5" spans="1:10" ht="19.2" customHeight="1" thickTop="1" thickBot="1" x14ac:dyDescent="0.35">
      <c r="A5" s="30">
        <f>ROW()-3</f>
        <v>2</v>
      </c>
      <c r="B5" s="30" t="s">
        <v>262</v>
      </c>
      <c r="C5" s="30">
        <v>2003</v>
      </c>
      <c r="D5" s="30" t="s">
        <v>268</v>
      </c>
      <c r="E5" s="106">
        <v>11</v>
      </c>
      <c r="F5" s="30" t="s">
        <v>116</v>
      </c>
      <c r="G5" s="35">
        <v>204</v>
      </c>
      <c r="H5" s="35">
        <v>0</v>
      </c>
      <c r="I5" s="35">
        <v>26724383.079999998</v>
      </c>
      <c r="J5" s="35">
        <v>1336219.1499999999</v>
      </c>
    </row>
    <row r="6" spans="1:10" ht="19.2" customHeight="1" thickTop="1" thickBot="1" x14ac:dyDescent="0.35">
      <c r="A6" s="30">
        <f>ROW()-3</f>
        <v>3</v>
      </c>
      <c r="B6" s="30" t="s">
        <v>263</v>
      </c>
      <c r="C6" s="30">
        <v>2003</v>
      </c>
      <c r="D6" s="30" t="s">
        <v>268</v>
      </c>
      <c r="E6" s="106">
        <v>12</v>
      </c>
      <c r="F6" s="30" t="s">
        <v>116</v>
      </c>
      <c r="G6" s="35">
        <v>204</v>
      </c>
      <c r="H6" s="35">
        <v>0</v>
      </c>
      <c r="I6" s="35">
        <v>26724383.079999998</v>
      </c>
      <c r="J6" s="35">
        <v>1336219.1499999999</v>
      </c>
    </row>
    <row r="7" spans="1:10" ht="19.2" customHeight="1" thickTop="1" thickBot="1" x14ac:dyDescent="0.35">
      <c r="A7" s="30">
        <f>ROW()-3</f>
        <v>4</v>
      </c>
      <c r="B7" s="30" t="s">
        <v>348</v>
      </c>
      <c r="C7" s="30">
        <v>2003</v>
      </c>
      <c r="D7" s="30" t="s">
        <v>268</v>
      </c>
      <c r="E7" s="106">
        <v>21</v>
      </c>
      <c r="F7" s="30" t="s">
        <v>131</v>
      </c>
      <c r="G7" s="35">
        <v>204</v>
      </c>
      <c r="H7" s="35">
        <v>0</v>
      </c>
      <c r="I7" s="35">
        <v>27560174.850000001</v>
      </c>
      <c r="J7" s="35">
        <v>1378008.74</v>
      </c>
    </row>
    <row r="8" spans="1:10" ht="19.2" customHeight="1" thickTop="1" thickBot="1" x14ac:dyDescent="0.35">
      <c r="A8" s="30">
        <f t="shared" ref="A8:A12" si="0">ROW()-3</f>
        <v>5</v>
      </c>
      <c r="B8" s="30" t="s">
        <v>359</v>
      </c>
      <c r="C8" s="30">
        <v>2005</v>
      </c>
      <c r="D8" s="30" t="s">
        <v>268</v>
      </c>
      <c r="E8" s="106">
        <v>2</v>
      </c>
      <c r="F8" s="30" t="s">
        <v>118</v>
      </c>
      <c r="G8" s="35">
        <v>204</v>
      </c>
      <c r="H8" s="35">
        <v>156.87</v>
      </c>
      <c r="I8" s="35">
        <v>29983770.030000001</v>
      </c>
      <c r="J8" s="35">
        <v>1499188.5</v>
      </c>
    </row>
    <row r="9" spans="1:10" ht="19.2" customHeight="1" thickTop="1" thickBot="1" x14ac:dyDescent="0.35">
      <c r="A9" s="30">
        <f t="shared" si="0"/>
        <v>6</v>
      </c>
      <c r="B9" s="30" t="s">
        <v>264</v>
      </c>
      <c r="C9" s="30">
        <v>2007</v>
      </c>
      <c r="D9" s="30" t="s">
        <v>268</v>
      </c>
      <c r="E9" s="106">
        <v>11</v>
      </c>
      <c r="F9" s="30" t="s">
        <v>116</v>
      </c>
      <c r="G9" s="35">
        <v>204</v>
      </c>
      <c r="H9" s="35">
        <v>0</v>
      </c>
      <c r="I9" s="35">
        <v>25336125.530000001</v>
      </c>
      <c r="J9" s="35">
        <v>1266806.28</v>
      </c>
    </row>
    <row r="10" spans="1:10" ht="19.2" customHeight="1" thickTop="1" thickBot="1" x14ac:dyDescent="0.35">
      <c r="A10" s="30">
        <f t="shared" si="0"/>
        <v>7</v>
      </c>
      <c r="B10" s="30" t="s">
        <v>265</v>
      </c>
      <c r="C10" s="30">
        <v>2007</v>
      </c>
      <c r="D10" s="30" t="s">
        <v>268</v>
      </c>
      <c r="E10" s="106">
        <v>12</v>
      </c>
      <c r="F10" s="30" t="s">
        <v>116</v>
      </c>
      <c r="G10" s="35">
        <v>204</v>
      </c>
      <c r="H10" s="35">
        <v>0</v>
      </c>
      <c r="I10" s="35">
        <v>25336125.530000001</v>
      </c>
      <c r="J10" s="35">
        <v>1266806.28</v>
      </c>
    </row>
    <row r="11" spans="1:10" ht="19.2" customHeight="1" thickTop="1" thickBot="1" x14ac:dyDescent="0.35">
      <c r="A11" s="30">
        <f t="shared" si="0"/>
        <v>8</v>
      </c>
      <c r="B11" s="30" t="s">
        <v>266</v>
      </c>
      <c r="C11" s="30">
        <v>2007</v>
      </c>
      <c r="D11" s="30" t="s">
        <v>268</v>
      </c>
      <c r="E11" s="106">
        <v>21</v>
      </c>
      <c r="F11" s="30" t="s">
        <v>131</v>
      </c>
      <c r="G11" s="35">
        <v>204</v>
      </c>
      <c r="H11" s="35">
        <v>0</v>
      </c>
      <c r="I11" s="35">
        <v>26149063.149999999</v>
      </c>
      <c r="J11" s="35">
        <v>1307453.1599999999</v>
      </c>
    </row>
    <row r="12" spans="1:10" ht="19.2" customHeight="1" thickTop="1" thickBot="1" x14ac:dyDescent="0.35">
      <c r="A12" s="30">
        <f t="shared" si="0"/>
        <v>9</v>
      </c>
      <c r="B12" s="30" t="s">
        <v>267</v>
      </c>
      <c r="C12" s="30">
        <v>2007</v>
      </c>
      <c r="D12" s="30" t="s">
        <v>268</v>
      </c>
      <c r="E12" s="106">
        <v>22</v>
      </c>
      <c r="F12" s="30" t="s">
        <v>131</v>
      </c>
      <c r="G12" s="35">
        <v>204</v>
      </c>
      <c r="H12" s="35">
        <v>0</v>
      </c>
      <c r="I12" s="35">
        <v>26149063.149999999</v>
      </c>
      <c r="J12" s="35">
        <v>1307453.1599999999</v>
      </c>
    </row>
    <row r="13" spans="1:10" ht="24.6" customHeight="1" thickTop="1" thickBot="1" x14ac:dyDescent="0.35">
      <c r="A13" s="30"/>
      <c r="B13" s="158"/>
      <c r="I13" s="244"/>
    </row>
    <row r="14" spans="1:10" ht="22.5" customHeight="1" thickTop="1" x14ac:dyDescent="0.3"/>
    <row r="16" spans="1:10" ht="22.5" customHeight="1" x14ac:dyDescent="0.3">
      <c r="C16" s="87"/>
      <c r="D16" s="88"/>
      <c r="E16" s="89"/>
      <c r="F16" s="86"/>
    </row>
    <row r="17" spans="2:6" ht="22.5" customHeight="1" x14ac:dyDescent="0.3">
      <c r="B17" s="86"/>
      <c r="C17" s="87"/>
      <c r="D17" s="88"/>
      <c r="E17" s="89"/>
      <c r="F17" s="86"/>
    </row>
    <row r="18" spans="2:6" ht="22.5" customHeight="1" x14ac:dyDescent="0.3">
      <c r="B18" s="86"/>
      <c r="C18" s="87"/>
      <c r="D18" s="88"/>
      <c r="E18" s="89"/>
      <c r="F18" s="86"/>
    </row>
  </sheetData>
  <mergeCells count="2">
    <mergeCell ref="A2:F2"/>
    <mergeCell ref="A1:J1"/>
  </mergeCells>
  <conditionalFormatting sqref="B16:B27 B4:B14 A3:J3 B29:B1048576">
    <cfRule type="duplicateValues" dxfId="196" priority="8151"/>
  </conditionalFormatting>
  <conditionalFormatting sqref="B16:B27 B29:B1048576">
    <cfRule type="duplicateValues" dxfId="195" priority="6903"/>
  </conditionalFormatting>
  <pageMargins left="0.25" right="0.25" top="0.75" bottom="0.75" header="0.3" footer="0.3"/>
  <pageSetup scale="7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7A06-A4A4-408C-A866-DB0286AD5739}">
  <sheetPr>
    <pageSetUpPr fitToPage="1"/>
  </sheetPr>
  <dimension ref="A1:J33"/>
  <sheetViews>
    <sheetView view="pageBreakPreview" topLeftCell="A20" zoomScale="88" zoomScaleNormal="101" workbookViewId="0">
      <selection activeCell="I28" sqref="I28"/>
    </sheetView>
  </sheetViews>
  <sheetFormatPr defaultColWidth="13.6640625" defaultRowHeight="22.5" customHeight="1" x14ac:dyDescent="0.3"/>
  <cols>
    <col min="1" max="1" width="5.109375" customWidth="1"/>
    <col min="2" max="2" width="17.88671875" customWidth="1"/>
    <col min="3" max="3" width="9.33203125" customWidth="1"/>
    <col min="4" max="4" width="11.44140625" customWidth="1"/>
    <col min="5" max="5" width="11.5546875" customWidth="1"/>
    <col min="6" max="6" width="14.44140625" customWidth="1"/>
    <col min="7" max="7" width="15.5546875" customWidth="1"/>
    <col min="9" max="9" width="26" customWidth="1"/>
    <col min="10" max="10" width="20.88671875" customWidth="1"/>
  </cols>
  <sheetData>
    <row r="1" spans="1:10" ht="30" customHeight="1" x14ac:dyDescent="0.3">
      <c r="A1" s="329" t="s">
        <v>369</v>
      </c>
      <c r="B1" s="329"/>
      <c r="C1" s="329"/>
      <c r="D1" s="329"/>
      <c r="E1" s="329"/>
      <c r="F1" s="329"/>
      <c r="G1" s="329"/>
      <c r="H1" s="329"/>
      <c r="I1" s="329"/>
      <c r="J1" s="329"/>
    </row>
    <row r="2" spans="1:10" ht="13.5" customHeight="1" thickBot="1" x14ac:dyDescent="0.35">
      <c r="A2" s="324"/>
      <c r="B2" s="324"/>
      <c r="C2" s="324"/>
      <c r="D2" s="324"/>
      <c r="E2" s="324"/>
      <c r="F2" s="324"/>
      <c r="G2" s="324"/>
    </row>
    <row r="3" spans="1:10" s="3" customFormat="1" ht="31.8" customHeight="1" thickTop="1" thickBot="1" x14ac:dyDescent="0.35">
      <c r="A3" s="100" t="s">
        <v>5</v>
      </c>
      <c r="B3" s="100" t="s">
        <v>366</v>
      </c>
      <c r="C3" s="100" t="s">
        <v>196</v>
      </c>
      <c r="D3" s="100" t="s">
        <v>184</v>
      </c>
      <c r="E3" s="100" t="s">
        <v>13</v>
      </c>
      <c r="F3" s="100" t="s">
        <v>367</v>
      </c>
      <c r="G3" s="100" t="s">
        <v>368</v>
      </c>
      <c r="H3" s="100" t="s">
        <v>4</v>
      </c>
      <c r="I3" s="243" t="s">
        <v>357</v>
      </c>
      <c r="J3" s="243" t="s">
        <v>255</v>
      </c>
    </row>
    <row r="4" spans="1:10" ht="19.2" customHeight="1" thickTop="1" thickBot="1" x14ac:dyDescent="0.35">
      <c r="A4" s="30">
        <f>ROW()-3</f>
        <v>1</v>
      </c>
      <c r="B4" s="30" t="s">
        <v>101</v>
      </c>
      <c r="C4" s="30">
        <v>8001</v>
      </c>
      <c r="D4" s="30" t="s">
        <v>268</v>
      </c>
      <c r="E4" s="106" t="s">
        <v>118</v>
      </c>
      <c r="F4" s="30" t="s">
        <v>231</v>
      </c>
      <c r="G4" s="35">
        <v>245</v>
      </c>
      <c r="H4" s="35">
        <v>178</v>
      </c>
      <c r="I4" s="35">
        <v>41899598.969999999</v>
      </c>
      <c r="J4" s="35">
        <v>2094979.95</v>
      </c>
    </row>
    <row r="5" spans="1:10" ht="19.2" customHeight="1" thickTop="1" thickBot="1" x14ac:dyDescent="0.35">
      <c r="A5" s="30">
        <f>ROW()-3</f>
        <v>2</v>
      </c>
      <c r="B5" s="30" t="s">
        <v>269</v>
      </c>
      <c r="C5" s="30">
        <v>8001</v>
      </c>
      <c r="D5" s="30" t="s">
        <v>268</v>
      </c>
      <c r="E5" s="106" t="s">
        <v>132</v>
      </c>
      <c r="F5" s="30" t="s">
        <v>232</v>
      </c>
      <c r="G5" s="35">
        <v>348</v>
      </c>
      <c r="H5" s="35">
        <v>0</v>
      </c>
      <c r="I5" s="35">
        <v>54392142.840000004</v>
      </c>
      <c r="J5" s="35">
        <v>2719607.14</v>
      </c>
    </row>
    <row r="6" spans="1:10" ht="19.2" customHeight="1" thickTop="1" thickBot="1" x14ac:dyDescent="0.35">
      <c r="A6" s="30">
        <f>ROW()-3</f>
        <v>3</v>
      </c>
      <c r="B6" s="30" t="s">
        <v>102</v>
      </c>
      <c r="C6" s="30">
        <v>8001</v>
      </c>
      <c r="D6" s="30" t="s">
        <v>270</v>
      </c>
      <c r="E6" s="106" t="s">
        <v>118</v>
      </c>
      <c r="F6" s="30" t="s">
        <v>231</v>
      </c>
      <c r="G6" s="35">
        <v>200</v>
      </c>
      <c r="H6" s="35">
        <v>81</v>
      </c>
      <c r="I6" s="35">
        <v>31846020.120000001</v>
      </c>
      <c r="J6" s="35">
        <v>1592301.01</v>
      </c>
    </row>
    <row r="7" spans="1:10" ht="19.2" customHeight="1" thickTop="1" thickBot="1" x14ac:dyDescent="0.35">
      <c r="A7" s="30">
        <f>ROW()-3</f>
        <v>4</v>
      </c>
      <c r="B7" s="30" t="s">
        <v>103</v>
      </c>
      <c r="C7" s="30">
        <v>8001</v>
      </c>
      <c r="D7" s="30" t="s">
        <v>270</v>
      </c>
      <c r="E7" s="106" t="s">
        <v>118</v>
      </c>
      <c r="F7" s="30" t="s">
        <v>231</v>
      </c>
      <c r="G7" s="35">
        <v>245</v>
      </c>
      <c r="H7" s="35">
        <v>178</v>
      </c>
      <c r="I7" s="35">
        <v>41245647.600000001</v>
      </c>
      <c r="J7" s="35">
        <v>2062282.38</v>
      </c>
    </row>
    <row r="8" spans="1:10" ht="19.2" customHeight="1" thickTop="1" thickBot="1" x14ac:dyDescent="0.35">
      <c r="A8" s="30">
        <f t="shared" ref="A8:A27" si="0">ROW()-3</f>
        <v>5</v>
      </c>
      <c r="B8" s="30" t="s">
        <v>104</v>
      </c>
      <c r="C8" s="30">
        <v>8001</v>
      </c>
      <c r="D8" s="30" t="s">
        <v>270</v>
      </c>
      <c r="E8" s="106" t="s">
        <v>132</v>
      </c>
      <c r="F8" s="30" t="s">
        <v>232</v>
      </c>
      <c r="G8" s="35">
        <v>355</v>
      </c>
      <c r="H8" s="35">
        <v>0</v>
      </c>
      <c r="I8" s="35">
        <v>54860910.270000003</v>
      </c>
      <c r="J8" s="35">
        <v>2743045.51</v>
      </c>
    </row>
    <row r="9" spans="1:10" ht="19.2" customHeight="1" thickTop="1" thickBot="1" x14ac:dyDescent="0.35">
      <c r="A9" s="30">
        <f t="shared" si="0"/>
        <v>6</v>
      </c>
      <c r="B9" s="30" t="s">
        <v>109</v>
      </c>
      <c r="C9" s="30">
        <v>8003</v>
      </c>
      <c r="D9" s="30" t="s">
        <v>268</v>
      </c>
      <c r="E9" s="106" t="s">
        <v>118</v>
      </c>
      <c r="F9" s="30" t="s">
        <v>231</v>
      </c>
      <c r="G9" s="35">
        <v>200</v>
      </c>
      <c r="H9" s="35">
        <v>104.5</v>
      </c>
      <c r="I9" s="35">
        <v>34831671.43</v>
      </c>
      <c r="J9" s="35">
        <v>1741583.57</v>
      </c>
    </row>
    <row r="10" spans="1:10" ht="19.2" customHeight="1" thickTop="1" thickBot="1" x14ac:dyDescent="0.35">
      <c r="A10" s="30">
        <f t="shared" si="0"/>
        <v>7</v>
      </c>
      <c r="B10" s="30" t="s">
        <v>344</v>
      </c>
      <c r="C10" s="30">
        <v>8003</v>
      </c>
      <c r="D10" s="30" t="s">
        <v>268</v>
      </c>
      <c r="E10" s="106" t="s">
        <v>116</v>
      </c>
      <c r="F10" s="30" t="s">
        <v>231</v>
      </c>
      <c r="G10" s="35">
        <v>230</v>
      </c>
      <c r="H10" s="35">
        <v>0</v>
      </c>
      <c r="I10" s="35">
        <v>33549989.260000002</v>
      </c>
      <c r="J10" s="35">
        <v>1677499.46</v>
      </c>
    </row>
    <row r="11" spans="1:10" ht="19.2" customHeight="1" thickTop="1" thickBot="1" x14ac:dyDescent="0.35">
      <c r="A11" s="30">
        <f t="shared" si="0"/>
        <v>8</v>
      </c>
      <c r="B11" s="30" t="s">
        <v>234</v>
      </c>
      <c r="C11" s="30">
        <v>8003</v>
      </c>
      <c r="D11" s="30" t="s">
        <v>268</v>
      </c>
      <c r="E11" s="106" t="s">
        <v>116</v>
      </c>
      <c r="F11" s="30" t="s">
        <v>231</v>
      </c>
      <c r="G11" s="35">
        <v>190</v>
      </c>
      <c r="H11" s="35">
        <v>0</v>
      </c>
      <c r="I11" s="35">
        <v>27511832.870000001</v>
      </c>
      <c r="J11" s="35">
        <v>1375591.64</v>
      </c>
    </row>
    <row r="12" spans="1:10" ht="19.2" customHeight="1" thickTop="1" thickBot="1" x14ac:dyDescent="0.35">
      <c r="A12" s="30">
        <f t="shared" si="0"/>
        <v>9</v>
      </c>
      <c r="B12" s="30" t="s">
        <v>110</v>
      </c>
      <c r="C12" s="30">
        <v>8003</v>
      </c>
      <c r="D12" s="30" t="s">
        <v>268</v>
      </c>
      <c r="E12" s="106" t="s">
        <v>131</v>
      </c>
      <c r="F12" s="30" t="s">
        <v>231</v>
      </c>
      <c r="G12" s="35">
        <v>172</v>
      </c>
      <c r="H12" s="35">
        <v>0</v>
      </c>
      <c r="I12" s="35">
        <v>26584787.530000001</v>
      </c>
      <c r="J12" s="35">
        <v>1329239.3799999999</v>
      </c>
    </row>
    <row r="13" spans="1:10" ht="19.2" customHeight="1" thickTop="1" thickBot="1" x14ac:dyDescent="0.35">
      <c r="A13" s="30">
        <f t="shared" si="0"/>
        <v>10</v>
      </c>
      <c r="B13" s="30" t="s">
        <v>111</v>
      </c>
      <c r="C13" s="30">
        <v>8003</v>
      </c>
      <c r="D13" s="30" t="s">
        <v>268</v>
      </c>
      <c r="E13" s="106" t="s">
        <v>132</v>
      </c>
      <c r="F13" s="30" t="s">
        <v>232</v>
      </c>
      <c r="G13" s="35">
        <v>348</v>
      </c>
      <c r="H13" s="35">
        <v>0</v>
      </c>
      <c r="I13" s="35">
        <v>57013847.890000001</v>
      </c>
      <c r="J13" s="35">
        <v>2850692.39</v>
      </c>
    </row>
    <row r="14" spans="1:10" ht="19.2" customHeight="1" thickTop="1" thickBot="1" x14ac:dyDescent="0.35">
      <c r="A14" s="30">
        <f t="shared" si="0"/>
        <v>11</v>
      </c>
      <c r="B14" s="30" t="s">
        <v>112</v>
      </c>
      <c r="C14" s="30">
        <v>8003</v>
      </c>
      <c r="D14" s="30" t="s">
        <v>270</v>
      </c>
      <c r="E14" s="106" t="s">
        <v>116</v>
      </c>
      <c r="F14" s="30" t="s">
        <v>231</v>
      </c>
      <c r="G14" s="35">
        <v>186</v>
      </c>
      <c r="H14" s="35">
        <v>0</v>
      </c>
      <c r="I14" s="35">
        <v>26932636.390000001</v>
      </c>
      <c r="J14" s="35">
        <v>1346631.82</v>
      </c>
    </row>
    <row r="15" spans="1:10" ht="19.2" customHeight="1" thickTop="1" thickBot="1" x14ac:dyDescent="0.35">
      <c r="A15" s="30">
        <f t="shared" si="0"/>
        <v>12</v>
      </c>
      <c r="B15" s="30" t="s">
        <v>418</v>
      </c>
      <c r="C15" s="30">
        <v>8003</v>
      </c>
      <c r="D15" s="30" t="s">
        <v>270</v>
      </c>
      <c r="E15" s="106" t="s">
        <v>132</v>
      </c>
      <c r="F15" s="30" t="s">
        <v>232</v>
      </c>
      <c r="G15" s="35">
        <v>355</v>
      </c>
      <c r="H15" s="35">
        <v>0</v>
      </c>
      <c r="I15" s="35">
        <v>58148965.579999998</v>
      </c>
      <c r="J15" s="35">
        <v>2907448.28</v>
      </c>
    </row>
    <row r="16" spans="1:10" ht="19.2" customHeight="1" thickTop="1" thickBot="1" x14ac:dyDescent="0.35">
      <c r="A16" s="30">
        <f t="shared" si="0"/>
        <v>13</v>
      </c>
      <c r="B16" s="30" t="s">
        <v>446</v>
      </c>
      <c r="C16" s="30">
        <v>8011</v>
      </c>
      <c r="D16" s="30" t="s">
        <v>268</v>
      </c>
      <c r="E16" s="106" t="s">
        <v>118</v>
      </c>
      <c r="F16" s="30" t="s">
        <v>231</v>
      </c>
      <c r="G16" s="35">
        <v>190.44</v>
      </c>
      <c r="H16" s="35">
        <v>197.67</v>
      </c>
      <c r="I16" s="35">
        <v>36845954.350000001</v>
      </c>
      <c r="J16" s="35">
        <v>1842297.72</v>
      </c>
    </row>
    <row r="17" spans="1:10" ht="19.2" customHeight="1" thickTop="1" thickBot="1" x14ac:dyDescent="0.35">
      <c r="A17" s="30">
        <f t="shared" si="0"/>
        <v>14</v>
      </c>
      <c r="B17" s="30" t="s">
        <v>447</v>
      </c>
      <c r="C17" s="30">
        <v>8011</v>
      </c>
      <c r="D17" s="30" t="s">
        <v>268</v>
      </c>
      <c r="E17" s="106" t="s">
        <v>118</v>
      </c>
      <c r="F17" s="30" t="s">
        <v>231</v>
      </c>
      <c r="G17" s="35">
        <v>166.19</v>
      </c>
      <c r="H17" s="35">
        <v>111.9</v>
      </c>
      <c r="I17" s="35">
        <v>29331209.52</v>
      </c>
      <c r="J17" s="35">
        <v>1466560.48</v>
      </c>
    </row>
    <row r="18" spans="1:10" ht="19.2" customHeight="1" thickTop="1" thickBot="1" x14ac:dyDescent="0.35">
      <c r="A18" s="30">
        <f t="shared" si="0"/>
        <v>15</v>
      </c>
      <c r="B18" s="30" t="s">
        <v>448</v>
      </c>
      <c r="C18" s="30">
        <v>8011</v>
      </c>
      <c r="D18" s="30" t="s">
        <v>270</v>
      </c>
      <c r="E18" s="106" t="s">
        <v>118</v>
      </c>
      <c r="F18" s="30" t="s">
        <v>231</v>
      </c>
      <c r="G18" s="35">
        <v>190.44</v>
      </c>
      <c r="H18" s="35">
        <v>197.91</v>
      </c>
      <c r="I18" s="35">
        <v>37267180.759999998</v>
      </c>
      <c r="J18" s="35">
        <v>1863359.04</v>
      </c>
    </row>
    <row r="19" spans="1:10" ht="19.2" customHeight="1" thickTop="1" thickBot="1" x14ac:dyDescent="0.35">
      <c r="A19" s="30">
        <f t="shared" si="0"/>
        <v>16</v>
      </c>
      <c r="B19" s="30" t="s">
        <v>449</v>
      </c>
      <c r="C19" s="30">
        <v>8011</v>
      </c>
      <c r="D19" s="30" t="s">
        <v>268</v>
      </c>
      <c r="E19" s="106" t="s">
        <v>116</v>
      </c>
      <c r="F19" s="30" t="s">
        <v>231</v>
      </c>
      <c r="G19" s="35">
        <v>188.78</v>
      </c>
      <c r="H19" s="35">
        <v>0</v>
      </c>
      <c r="I19" s="35">
        <v>27940625.18</v>
      </c>
      <c r="J19" s="35">
        <v>1397031.26</v>
      </c>
    </row>
    <row r="20" spans="1:10" ht="19.2" customHeight="1" thickTop="1" thickBot="1" x14ac:dyDescent="0.35">
      <c r="A20" s="30">
        <f t="shared" si="0"/>
        <v>17</v>
      </c>
      <c r="B20" s="30" t="s">
        <v>450</v>
      </c>
      <c r="C20" s="30">
        <v>8011</v>
      </c>
      <c r="D20" s="30" t="s">
        <v>268</v>
      </c>
      <c r="E20" s="106" t="s">
        <v>116</v>
      </c>
      <c r="F20" s="30" t="s">
        <v>233</v>
      </c>
      <c r="G20" s="35">
        <v>151</v>
      </c>
      <c r="H20" s="35">
        <v>0</v>
      </c>
      <c r="I20" s="35">
        <v>22904385.93</v>
      </c>
      <c r="J20" s="35">
        <v>1145219.3</v>
      </c>
    </row>
    <row r="21" spans="1:10" ht="19.2" customHeight="1" thickTop="1" thickBot="1" x14ac:dyDescent="0.35">
      <c r="A21" s="30">
        <f t="shared" si="0"/>
        <v>18</v>
      </c>
      <c r="B21" s="30" t="s">
        <v>451</v>
      </c>
      <c r="C21" s="30">
        <v>8011</v>
      </c>
      <c r="D21" s="30" t="s">
        <v>270</v>
      </c>
      <c r="E21" s="106" t="s">
        <v>116</v>
      </c>
      <c r="F21" s="30" t="s">
        <v>233</v>
      </c>
      <c r="G21" s="35">
        <v>151</v>
      </c>
      <c r="H21" s="35">
        <v>0</v>
      </c>
      <c r="I21" s="35">
        <v>22904385.93</v>
      </c>
      <c r="J21" s="35">
        <v>1145219.3</v>
      </c>
    </row>
    <row r="22" spans="1:10" ht="19.2" customHeight="1" thickTop="1" thickBot="1" x14ac:dyDescent="0.35">
      <c r="A22" s="30">
        <f t="shared" si="0"/>
        <v>19</v>
      </c>
      <c r="B22" s="30" t="s">
        <v>452</v>
      </c>
      <c r="C22" s="30">
        <v>8011</v>
      </c>
      <c r="D22" s="30" t="s">
        <v>270</v>
      </c>
      <c r="E22" s="106" t="s">
        <v>116</v>
      </c>
      <c r="F22" s="30" t="s">
        <v>231</v>
      </c>
      <c r="G22" s="35">
        <v>189.8</v>
      </c>
      <c r="H22" s="35">
        <v>0</v>
      </c>
      <c r="I22" s="35">
        <v>28522398.649999999</v>
      </c>
      <c r="J22" s="35">
        <v>1426119.93</v>
      </c>
    </row>
    <row r="23" spans="1:10" ht="19.2" customHeight="1" thickTop="1" thickBot="1" x14ac:dyDescent="0.35">
      <c r="A23" s="30">
        <f t="shared" si="0"/>
        <v>20</v>
      </c>
      <c r="B23" s="30" t="s">
        <v>465</v>
      </c>
      <c r="C23" s="30">
        <v>8011</v>
      </c>
      <c r="D23" s="30" t="s">
        <v>270</v>
      </c>
      <c r="E23" s="106" t="s">
        <v>132</v>
      </c>
      <c r="F23" s="30" t="s">
        <v>231</v>
      </c>
      <c r="G23" s="35">
        <v>170.33</v>
      </c>
      <c r="H23" s="35">
        <v>0</v>
      </c>
      <c r="I23" s="35">
        <v>24609990.829999998</v>
      </c>
      <c r="J23" s="35">
        <v>1230499.54</v>
      </c>
    </row>
    <row r="24" spans="1:10" ht="19.2" customHeight="1" thickTop="1" thickBot="1" x14ac:dyDescent="0.35">
      <c r="A24" s="30">
        <f t="shared" si="0"/>
        <v>21</v>
      </c>
      <c r="B24" s="30" t="s">
        <v>453</v>
      </c>
      <c r="C24" s="30">
        <v>8011</v>
      </c>
      <c r="D24" s="30" t="s">
        <v>268</v>
      </c>
      <c r="E24" s="106" t="s">
        <v>131</v>
      </c>
      <c r="F24" s="30" t="s">
        <v>233</v>
      </c>
      <c r="G24" s="35">
        <v>152.6</v>
      </c>
      <c r="H24" s="35">
        <v>0</v>
      </c>
      <c r="I24" s="35">
        <v>23136061.539999999</v>
      </c>
      <c r="J24" s="35">
        <v>1156803.08</v>
      </c>
    </row>
    <row r="25" spans="1:10" ht="19.2" customHeight="1" thickTop="1" thickBot="1" x14ac:dyDescent="0.35">
      <c r="A25" s="30">
        <f t="shared" si="0"/>
        <v>22</v>
      </c>
      <c r="B25" s="30" t="s">
        <v>502</v>
      </c>
      <c r="C25" s="30">
        <v>8003</v>
      </c>
      <c r="D25" s="30" t="s">
        <v>270</v>
      </c>
      <c r="E25" s="106" t="s">
        <v>131</v>
      </c>
      <c r="F25" s="30" t="s">
        <v>233</v>
      </c>
      <c r="G25" s="35">
        <v>170</v>
      </c>
      <c r="H25" s="35">
        <v>0</v>
      </c>
      <c r="I25" s="35">
        <v>26275662.100000001</v>
      </c>
      <c r="J25" s="35">
        <v>1313783.1100000001</v>
      </c>
    </row>
    <row r="26" spans="1:10" ht="19.2" customHeight="1" thickTop="1" thickBot="1" x14ac:dyDescent="0.35">
      <c r="A26" s="30">
        <f t="shared" si="0"/>
        <v>23</v>
      </c>
      <c r="B26" s="30" t="s">
        <v>454</v>
      </c>
      <c r="C26" s="30">
        <v>8011</v>
      </c>
      <c r="D26" s="30" t="s">
        <v>270</v>
      </c>
      <c r="E26" s="106" t="s">
        <v>131</v>
      </c>
      <c r="F26" s="30" t="s">
        <v>233</v>
      </c>
      <c r="G26" s="35">
        <v>152.6</v>
      </c>
      <c r="H26" s="35">
        <v>0</v>
      </c>
      <c r="I26" s="35">
        <v>23136061.539999999</v>
      </c>
      <c r="J26" s="35">
        <v>1156803.08</v>
      </c>
    </row>
    <row r="27" spans="1:10" ht="19.2" customHeight="1" thickTop="1" thickBot="1" x14ac:dyDescent="0.35">
      <c r="A27" s="30">
        <f t="shared" si="0"/>
        <v>24</v>
      </c>
      <c r="B27" s="30" t="s">
        <v>472</v>
      </c>
      <c r="C27" s="30">
        <v>8011</v>
      </c>
      <c r="D27" s="30" t="s">
        <v>270</v>
      </c>
      <c r="E27" s="106" t="s">
        <v>132</v>
      </c>
      <c r="F27" s="30" t="s">
        <v>231</v>
      </c>
      <c r="G27" s="35">
        <v>184.5</v>
      </c>
      <c r="H27" s="35">
        <v>0</v>
      </c>
      <c r="I27" s="35">
        <v>27668173.100000001</v>
      </c>
      <c r="J27" s="35">
        <v>1383408.65</v>
      </c>
    </row>
    <row r="28" spans="1:10" ht="22.5" customHeight="1" thickTop="1" thickBot="1" x14ac:dyDescent="0.35">
      <c r="A28" s="30"/>
      <c r="B28" s="267"/>
      <c r="I28" s="178"/>
    </row>
    <row r="29" spans="1:10" ht="22.5" customHeight="1" thickTop="1" x14ac:dyDescent="0.3"/>
    <row r="31" spans="1:10" ht="22.5" customHeight="1" x14ac:dyDescent="0.3">
      <c r="B31" s="86"/>
      <c r="C31" s="87"/>
      <c r="D31" s="88"/>
      <c r="E31" s="89"/>
      <c r="F31" s="86"/>
    </row>
    <row r="32" spans="1:10" ht="22.5" customHeight="1" x14ac:dyDescent="0.3">
      <c r="B32" s="86"/>
      <c r="C32" s="87"/>
      <c r="D32" s="88"/>
      <c r="E32" s="89"/>
      <c r="F32" s="86"/>
    </row>
    <row r="33" spans="2:6" ht="22.5" customHeight="1" x14ac:dyDescent="0.3">
      <c r="B33" s="86"/>
      <c r="C33" s="87"/>
      <c r="D33" s="88"/>
      <c r="E33" s="89"/>
      <c r="F33" s="86"/>
    </row>
  </sheetData>
  <mergeCells count="2">
    <mergeCell ref="A1:J1"/>
    <mergeCell ref="A2:G2"/>
  </mergeCells>
  <conditionalFormatting sqref="B29:B1048576 A3:J3 B4:B27">
    <cfRule type="duplicateValues" dxfId="194" priority="5844"/>
  </conditionalFormatting>
  <conditionalFormatting sqref="B30:B1048576">
    <cfRule type="duplicateValues" dxfId="193" priority="2"/>
  </conditionalFormatting>
  <pageMargins left="0.25" right="0.25" top="0.75" bottom="0.75" header="0.3" footer="0.3"/>
  <pageSetup scale="71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6062-5EF9-4547-90CE-524EEFDB00A5}">
  <sheetPr>
    <pageSetUpPr fitToPage="1"/>
  </sheetPr>
  <dimension ref="A1:I10"/>
  <sheetViews>
    <sheetView view="pageBreakPreview" zoomScale="88" zoomScaleNormal="100" zoomScaleSheetLayoutView="100" workbookViewId="0">
      <selection activeCell="H8" sqref="H8"/>
    </sheetView>
  </sheetViews>
  <sheetFormatPr defaultColWidth="18.109375" defaultRowHeight="14.4" x14ac:dyDescent="0.3"/>
  <cols>
    <col min="1" max="1" width="5.33203125" style="1" customWidth="1"/>
    <col min="2" max="2" width="22" style="1" customWidth="1"/>
    <col min="3" max="3" width="18.109375" style="1" customWidth="1"/>
    <col min="4" max="4" width="12.6640625" style="1" customWidth="1"/>
    <col min="5" max="5" width="11.109375" style="1" bestFit="1" customWidth="1"/>
    <col min="6" max="6" width="14.88671875" style="1" customWidth="1"/>
    <col min="7" max="7" width="15.44140625" style="1" customWidth="1"/>
    <col min="8" max="8" width="24.33203125" style="1" customWidth="1"/>
    <col min="9" max="9" width="17.44140625" style="1" customWidth="1"/>
    <col min="10" max="16384" width="18.109375" style="1"/>
  </cols>
  <sheetData>
    <row r="1" spans="1:9" ht="30" customHeight="1" x14ac:dyDescent="0.3">
      <c r="A1" s="330" t="s">
        <v>26</v>
      </c>
      <c r="B1" s="330"/>
      <c r="C1" s="330"/>
      <c r="D1" s="330"/>
      <c r="E1" s="330"/>
      <c r="F1" s="330"/>
      <c r="G1" s="330"/>
      <c r="H1" s="330"/>
      <c r="I1" s="330"/>
    </row>
    <row r="2" spans="1:9" ht="7.2" customHeight="1" x14ac:dyDescent="0.3">
      <c r="A2" s="309"/>
      <c r="B2" s="309"/>
      <c r="C2" s="309"/>
      <c r="D2" s="309"/>
      <c r="E2" s="309"/>
      <c r="F2" s="309"/>
      <c r="G2" s="309"/>
      <c r="H2" s="309"/>
      <c r="I2" s="309"/>
    </row>
    <row r="3" spans="1:9" ht="7.2" customHeight="1" x14ac:dyDescent="0.3"/>
    <row r="4" spans="1:9" ht="29.4" customHeight="1" thickBot="1" x14ac:dyDescent="0.35">
      <c r="A4" s="38" t="s">
        <v>5</v>
      </c>
      <c r="B4" s="38" t="s">
        <v>16</v>
      </c>
      <c r="C4" s="38" t="s">
        <v>21</v>
      </c>
      <c r="D4" s="38" t="s">
        <v>0</v>
      </c>
      <c r="E4" s="38" t="s">
        <v>9</v>
      </c>
      <c r="F4" s="38" t="s">
        <v>18</v>
      </c>
      <c r="G4" s="38" t="s">
        <v>22</v>
      </c>
      <c r="H4" s="38" t="s">
        <v>10</v>
      </c>
      <c r="I4" s="38" t="s">
        <v>121</v>
      </c>
    </row>
    <row r="5" spans="1:9" ht="25.2" customHeight="1" thickTop="1" thickBot="1" x14ac:dyDescent="0.35">
      <c r="A5" s="22">
        <v>1</v>
      </c>
      <c r="B5" s="127" t="s">
        <v>119</v>
      </c>
      <c r="C5" s="127" t="s">
        <v>120</v>
      </c>
      <c r="D5" s="127">
        <v>746.2</v>
      </c>
      <c r="E5" s="127">
        <v>459</v>
      </c>
      <c r="F5" s="127">
        <v>0</v>
      </c>
      <c r="G5" s="127">
        <v>243</v>
      </c>
      <c r="H5" s="274">
        <v>152046113.06999999</v>
      </c>
      <c r="I5" s="273">
        <v>7602305.6500000004</v>
      </c>
    </row>
    <row r="6" spans="1:9" ht="25.2" customHeight="1" thickTop="1" thickBot="1" x14ac:dyDescent="0.35">
      <c r="A6" s="22">
        <v>2</v>
      </c>
      <c r="B6" s="127" t="s">
        <v>180</v>
      </c>
      <c r="C6" s="127" t="s">
        <v>120</v>
      </c>
      <c r="D6" s="127">
        <v>527.79999999999995</v>
      </c>
      <c r="E6" s="127">
        <v>271.05</v>
      </c>
      <c r="F6" s="127">
        <v>0</v>
      </c>
      <c r="G6" s="127">
        <v>116.95</v>
      </c>
      <c r="H6" s="274">
        <v>99650000</v>
      </c>
      <c r="I6" s="273">
        <v>4982500</v>
      </c>
    </row>
    <row r="7" spans="1:9" ht="25.2" customHeight="1" thickTop="1" thickBot="1" x14ac:dyDescent="0.35">
      <c r="A7" s="22">
        <v>3</v>
      </c>
      <c r="B7" s="127" t="s">
        <v>299</v>
      </c>
      <c r="C7" s="127" t="s">
        <v>120</v>
      </c>
      <c r="D7" s="127">
        <v>803.35</v>
      </c>
      <c r="E7" s="127">
        <v>444</v>
      </c>
      <c r="F7" s="127">
        <v>0</v>
      </c>
      <c r="G7" s="127"/>
      <c r="H7" s="274">
        <v>141318810.90000001</v>
      </c>
      <c r="I7" s="273">
        <v>7065940.5499999998</v>
      </c>
    </row>
    <row r="8" spans="1:9" ht="24" customHeight="1" thickTop="1" thickBot="1" x14ac:dyDescent="0.35">
      <c r="A8" s="8"/>
      <c r="B8" s="268"/>
      <c r="C8" s="124"/>
      <c r="D8" s="124"/>
      <c r="E8" s="125"/>
      <c r="F8" s="124"/>
      <c r="G8" s="124"/>
      <c r="H8" s="269"/>
      <c r="I8" s="126"/>
    </row>
    <row r="9" spans="1:9" ht="15" thickTop="1" x14ac:dyDescent="0.3">
      <c r="A9" s="3"/>
      <c r="B9" s="3"/>
      <c r="C9" s="3"/>
    </row>
    <row r="10" spans="1:9" x14ac:dyDescent="0.3">
      <c r="B10" s="123"/>
    </row>
  </sheetData>
  <mergeCells count="1">
    <mergeCell ref="A1:I2"/>
  </mergeCells>
  <conditionalFormatting sqref="A4 F4:G4">
    <cfRule type="duplicateValues" dxfId="192" priority="15"/>
    <cfRule type="duplicateValues" dxfId="191" priority="16"/>
    <cfRule type="duplicateValues" dxfId="190" priority="17"/>
  </conditionalFormatting>
  <conditionalFormatting sqref="B1:B1048576">
    <cfRule type="duplicateValues" dxfId="189" priority="1"/>
  </conditionalFormatting>
  <conditionalFormatting sqref="B8">
    <cfRule type="duplicateValues" dxfId="188" priority="7"/>
    <cfRule type="duplicateValues" dxfId="187" priority="8"/>
    <cfRule type="duplicateValues" dxfId="186" priority="9"/>
    <cfRule type="duplicateValues" dxfId="185" priority="10"/>
    <cfRule type="duplicateValues" dxfId="184" priority="11"/>
  </conditionalFormatting>
  <conditionalFormatting sqref="B8:B10 B1:B4 B16:B1048576">
    <cfRule type="duplicateValues" dxfId="183" priority="4"/>
  </conditionalFormatting>
  <conditionalFormatting sqref="B9">
    <cfRule type="duplicateValues" dxfId="182" priority="51"/>
    <cfRule type="duplicateValues" dxfId="181" priority="53"/>
  </conditionalFormatting>
  <conditionalFormatting sqref="B9:B10 B3 B16:B1048576">
    <cfRule type="duplicateValues" dxfId="180" priority="19"/>
    <cfRule type="duplicateValues" dxfId="179" priority="27"/>
    <cfRule type="duplicateValues" dxfId="178" priority="1522"/>
    <cfRule type="duplicateValues" dxfId="177" priority="1537"/>
    <cfRule type="duplicateValues" dxfId="176" priority="1542"/>
  </conditionalFormatting>
  <conditionalFormatting sqref="B9:B10 B16:B1048576">
    <cfRule type="duplicateValues" dxfId="175" priority="1528"/>
  </conditionalFormatting>
  <conditionalFormatting sqref="B10 B16:B1048576">
    <cfRule type="duplicateValues" dxfId="174" priority="18"/>
    <cfRule type="duplicateValues" dxfId="173" priority="1526"/>
    <cfRule type="duplicateValues" dxfId="172" priority="1545"/>
  </conditionalFormatting>
  <conditionalFormatting sqref="B16:B1048576 B1:B10">
    <cfRule type="duplicateValues" dxfId="171" priority="2"/>
    <cfRule type="duplicateValues" dxfId="170" priority="3"/>
  </conditionalFormatting>
  <pageMargins left="0.7" right="0.7" top="0.75" bottom="0.75" header="0.3" footer="0.3"/>
  <pageSetup scale="65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2C16-9AFE-43D5-84A8-8B80E5630A1B}">
  <sheetPr>
    <pageSetUpPr fitToPage="1"/>
  </sheetPr>
  <dimension ref="A1:J7"/>
  <sheetViews>
    <sheetView view="pageBreakPreview" zoomScale="70" zoomScaleNormal="94" workbookViewId="0">
      <selection activeCell="J29" sqref="J29"/>
    </sheetView>
  </sheetViews>
  <sheetFormatPr defaultColWidth="18.6640625" defaultRowHeight="14.4" x14ac:dyDescent="0.3"/>
  <cols>
    <col min="1" max="1" width="6.5546875" bestFit="1" customWidth="1"/>
    <col min="2" max="2" width="15.33203125" bestFit="1" customWidth="1"/>
    <col min="3" max="3" width="11" customWidth="1"/>
    <col min="4" max="4" width="20" bestFit="1" customWidth="1"/>
    <col min="5" max="5" width="12.44140625" customWidth="1"/>
    <col min="6" max="6" width="15.6640625" customWidth="1"/>
    <col min="7" max="7" width="18.5546875" customWidth="1"/>
    <col min="8" max="8" width="20.88671875" customWidth="1"/>
  </cols>
  <sheetData>
    <row r="1" spans="1:10" ht="33.6" customHeight="1" thickBot="1" x14ac:dyDescent="0.35">
      <c r="A1" s="332" t="s">
        <v>189</v>
      </c>
      <c r="B1" s="309"/>
      <c r="C1" s="309"/>
      <c r="D1" s="309"/>
      <c r="E1" s="309"/>
      <c r="F1" s="309"/>
      <c r="G1" s="309"/>
      <c r="H1" s="309"/>
      <c r="I1" s="309"/>
      <c r="J1" s="309"/>
    </row>
    <row r="2" spans="1:10" ht="7.8" customHeight="1" x14ac:dyDescent="0.3">
      <c r="A2" s="331"/>
      <c r="B2" s="331"/>
      <c r="C2" s="331"/>
      <c r="D2" s="331"/>
      <c r="E2" s="331"/>
      <c r="F2" s="331"/>
      <c r="G2" s="331"/>
      <c r="H2" s="331"/>
    </row>
    <row r="3" spans="1:10" ht="7.8" customHeight="1" x14ac:dyDescent="0.3">
      <c r="A3" s="324"/>
      <c r="B3" s="324"/>
      <c r="C3" s="324"/>
      <c r="D3" s="324"/>
      <c r="E3" s="324"/>
      <c r="F3" s="324"/>
      <c r="G3" s="324"/>
      <c r="H3" s="324"/>
    </row>
    <row r="4" spans="1:10" ht="27.6" customHeight="1" thickBot="1" x14ac:dyDescent="0.35">
      <c r="A4" s="38" t="s">
        <v>5</v>
      </c>
      <c r="B4" s="38" t="s">
        <v>11</v>
      </c>
      <c r="C4" s="38" t="s">
        <v>184</v>
      </c>
      <c r="D4" s="38" t="s">
        <v>183</v>
      </c>
      <c r="E4" s="38" t="s">
        <v>47</v>
      </c>
      <c r="F4" s="38" t="s">
        <v>48</v>
      </c>
      <c r="G4" s="149" t="s">
        <v>187</v>
      </c>
      <c r="H4" s="149" t="s">
        <v>98</v>
      </c>
      <c r="I4" s="150" t="s">
        <v>188</v>
      </c>
      <c r="J4" s="150" t="s">
        <v>186</v>
      </c>
    </row>
    <row r="5" spans="1:10" ht="22.2" customHeight="1" thickTop="1" thickBot="1" x14ac:dyDescent="0.35">
      <c r="A5" s="117">
        <f>ROW()-4</f>
        <v>1</v>
      </c>
      <c r="B5" s="117" t="s">
        <v>181</v>
      </c>
      <c r="C5" s="117" t="s">
        <v>182</v>
      </c>
      <c r="D5" s="117" t="s">
        <v>185</v>
      </c>
      <c r="E5" s="117">
        <v>263.79755999999998</v>
      </c>
      <c r="F5" s="117">
        <v>34.582949999999997</v>
      </c>
      <c r="G5" s="121">
        <v>33992062.840000004</v>
      </c>
      <c r="H5" s="153">
        <f>Table711[[#This Row],[PRICE FF]]*10%</f>
        <v>3399206.2840000005</v>
      </c>
      <c r="I5" s="121">
        <v>37880985.288443103</v>
      </c>
      <c r="J5" s="152">
        <f>Table711[[#This Row],[PRICE FR]]*10%</f>
        <v>3788098.5288443104</v>
      </c>
    </row>
    <row r="6" spans="1:10" ht="24" customHeight="1" thickTop="1" thickBot="1" x14ac:dyDescent="0.35">
      <c r="A6" s="118"/>
      <c r="B6" s="119" t="s">
        <v>190</v>
      </c>
      <c r="C6" s="120"/>
      <c r="D6" s="120"/>
      <c r="E6" s="120"/>
      <c r="F6" s="120"/>
      <c r="G6" s="154" t="s">
        <v>191</v>
      </c>
      <c r="H6" s="120"/>
      <c r="I6" s="120"/>
      <c r="J6" s="151"/>
    </row>
    <row r="7" spans="1:10" ht="15" thickTop="1" x14ac:dyDescent="0.3"/>
  </sheetData>
  <mergeCells count="2">
    <mergeCell ref="A2:H3"/>
    <mergeCell ref="A1:J1"/>
  </mergeCells>
  <conditionalFormatting sqref="A4">
    <cfRule type="duplicateValues" dxfId="169" priority="6"/>
    <cfRule type="duplicateValues" dxfId="168" priority="7"/>
    <cfRule type="duplicateValues" dxfId="167" priority="8"/>
  </conditionalFormatting>
  <conditionalFormatting sqref="B6">
    <cfRule type="duplicateValues" dxfId="166" priority="1"/>
    <cfRule type="duplicateValues" dxfId="165" priority="2"/>
    <cfRule type="duplicateValues" dxfId="164" priority="3"/>
    <cfRule type="duplicateValues" dxfId="163" priority="4"/>
    <cfRule type="duplicateValues" dxfId="162" priority="5"/>
  </conditionalFormatting>
  <conditionalFormatting sqref="B7">
    <cfRule type="duplicateValues" dxfId="161" priority="16"/>
    <cfRule type="duplicateValues" dxfId="160" priority="20"/>
  </conditionalFormatting>
  <conditionalFormatting sqref="B7:B1048576 B5">
    <cfRule type="duplicateValues" dxfId="159" priority="21"/>
  </conditionalFormatting>
  <conditionalFormatting sqref="B7:B1048576">
    <cfRule type="duplicateValues" dxfId="158" priority="15"/>
    <cfRule type="duplicateValues" dxfId="157" priority="19"/>
  </conditionalFormatting>
  <conditionalFormatting sqref="B8:B1048576">
    <cfRule type="duplicateValues" dxfId="156" priority="12"/>
    <cfRule type="duplicateValues" dxfId="155" priority="13"/>
    <cfRule type="duplicateValues" dxfId="154" priority="14"/>
    <cfRule type="duplicateValues" dxfId="153" priority="17"/>
    <cfRule type="duplicateValues" dxfId="152" priority="18"/>
  </conditionalFormatting>
  <conditionalFormatting sqref="B4:J4">
    <cfRule type="duplicateValues" dxfId="151" priority="9"/>
    <cfRule type="duplicateValues" dxfId="150" priority="10"/>
    <cfRule type="duplicateValues" dxfId="149" priority="11"/>
  </conditionalFormatting>
  <pageMargins left="0.7" right="0.7" top="0.75" bottom="0.75" header="0.3" footer="0.3"/>
  <pageSetup scale="58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30D8-064F-4C7C-A313-42A3226AEA74}">
  <dimension ref="A1:K24"/>
  <sheetViews>
    <sheetView view="pageBreakPreview" topLeftCell="A3" zoomScale="86" zoomScaleNormal="100" zoomScaleSheetLayoutView="97" workbookViewId="0">
      <selection activeCell="D17" sqref="D17"/>
    </sheetView>
  </sheetViews>
  <sheetFormatPr defaultColWidth="11.6640625" defaultRowHeight="14.4" x14ac:dyDescent="0.3"/>
  <cols>
    <col min="1" max="1" width="4.77734375" style="1" customWidth="1"/>
    <col min="2" max="2" width="20.6640625" style="1" customWidth="1"/>
    <col min="3" max="3" width="11.77734375" style="1" customWidth="1"/>
    <col min="4" max="4" width="32.33203125" style="1" customWidth="1"/>
    <col min="5" max="5" width="13.109375" style="1" customWidth="1"/>
    <col min="6" max="7" width="13.6640625" style="1" customWidth="1"/>
    <col min="8" max="8" width="10.21875" style="1" customWidth="1"/>
    <col min="9" max="9" width="13.6640625" style="1" customWidth="1"/>
    <col min="10" max="10" width="21" style="1" customWidth="1"/>
    <col min="11" max="11" width="15.21875" style="1" customWidth="1"/>
    <col min="13" max="13" width="13.21875" bestFit="1" customWidth="1"/>
  </cols>
  <sheetData>
    <row r="1" spans="1:11" ht="39.75" customHeight="1" thickBot="1" x14ac:dyDescent="0.35">
      <c r="A1" s="333" t="s">
        <v>66</v>
      </c>
      <c r="B1" s="334"/>
      <c r="C1" s="334"/>
      <c r="D1" s="334"/>
      <c r="E1" s="334"/>
      <c r="F1" s="334"/>
      <c r="G1" s="334"/>
      <c r="H1" s="334"/>
      <c r="I1" s="334"/>
      <c r="J1" s="334"/>
      <c r="K1" s="335"/>
    </row>
    <row r="2" spans="1:11" ht="15.6" thickTop="1" thickBot="1" x14ac:dyDescent="0.35">
      <c r="A2" s="202"/>
      <c r="K2" s="203"/>
    </row>
    <row r="3" spans="1:11" ht="29.4" customHeight="1" thickTop="1" thickBot="1" x14ac:dyDescent="0.35">
      <c r="A3" s="219" t="s">
        <v>5</v>
      </c>
      <c r="B3" s="40" t="s">
        <v>6</v>
      </c>
      <c r="C3" s="40" t="s">
        <v>43</v>
      </c>
      <c r="D3" s="40" t="s">
        <v>65</v>
      </c>
      <c r="E3" s="40" t="s">
        <v>13</v>
      </c>
      <c r="F3" s="40" t="s">
        <v>38</v>
      </c>
      <c r="G3" s="40" t="s">
        <v>4</v>
      </c>
      <c r="H3" s="40" t="s">
        <v>0</v>
      </c>
      <c r="I3" s="40" t="s">
        <v>64</v>
      </c>
      <c r="J3" s="40" t="s">
        <v>46</v>
      </c>
      <c r="K3" s="220">
        <v>0.05</v>
      </c>
    </row>
    <row r="4" spans="1:11" ht="19.8" customHeight="1" thickTop="1" thickBot="1" x14ac:dyDescent="0.35">
      <c r="A4" s="221">
        <f t="shared" ref="A4:A11" si="0">ROW()-3</f>
        <v>1</v>
      </c>
      <c r="B4" s="22" t="s">
        <v>123</v>
      </c>
      <c r="C4" s="11" t="s">
        <v>124</v>
      </c>
      <c r="D4" s="22" t="s">
        <v>122</v>
      </c>
      <c r="E4" s="11" t="s">
        <v>118</v>
      </c>
      <c r="F4" s="11">
        <v>282</v>
      </c>
      <c r="G4" s="11">
        <v>122</v>
      </c>
      <c r="H4" s="22">
        <v>0</v>
      </c>
      <c r="I4" s="11">
        <v>0</v>
      </c>
      <c r="J4" s="12">
        <v>57950120.840000004</v>
      </c>
      <c r="K4" s="222">
        <v>2897506.04</v>
      </c>
    </row>
    <row r="5" spans="1:11" ht="19.8" customHeight="1" thickTop="1" thickBot="1" x14ac:dyDescent="0.35">
      <c r="A5" s="221">
        <f t="shared" si="0"/>
        <v>2</v>
      </c>
      <c r="B5" s="22" t="s">
        <v>135</v>
      </c>
      <c r="C5" s="11" t="s">
        <v>136</v>
      </c>
      <c r="D5" s="22" t="s">
        <v>122</v>
      </c>
      <c r="E5" s="11" t="s">
        <v>118</v>
      </c>
      <c r="F5" s="11">
        <v>282</v>
      </c>
      <c r="G5" s="11">
        <v>122</v>
      </c>
      <c r="H5" s="22">
        <v>0</v>
      </c>
      <c r="I5" s="11">
        <v>0</v>
      </c>
      <c r="J5" s="12">
        <v>57187284.670000002</v>
      </c>
      <c r="K5" s="222">
        <v>2859364.23</v>
      </c>
    </row>
    <row r="6" spans="1:11" ht="19.8" customHeight="1" thickTop="1" thickBot="1" x14ac:dyDescent="0.35">
      <c r="A6" s="221">
        <f t="shared" si="0"/>
        <v>3</v>
      </c>
      <c r="B6" s="22" t="s">
        <v>221</v>
      </c>
      <c r="C6" s="11" t="s">
        <v>137</v>
      </c>
      <c r="D6" s="22" t="s">
        <v>222</v>
      </c>
      <c r="E6" s="11" t="s">
        <v>132</v>
      </c>
      <c r="F6" s="11">
        <v>251</v>
      </c>
      <c r="G6" s="11">
        <v>0</v>
      </c>
      <c r="H6" s="22">
        <v>0</v>
      </c>
      <c r="I6" s="11">
        <v>39.5</v>
      </c>
      <c r="J6" s="12">
        <v>53208778.18</v>
      </c>
      <c r="K6" s="222">
        <v>2660438.91</v>
      </c>
    </row>
    <row r="7" spans="1:11" ht="19.8" customHeight="1" thickTop="1" thickBot="1" x14ac:dyDescent="0.35">
      <c r="A7" s="221">
        <f t="shared" si="0"/>
        <v>4</v>
      </c>
      <c r="B7" s="22" t="s">
        <v>292</v>
      </c>
      <c r="C7" s="11" t="s">
        <v>293</v>
      </c>
      <c r="D7" s="22" t="s">
        <v>122</v>
      </c>
      <c r="E7" s="11" t="s">
        <v>118</v>
      </c>
      <c r="F7" s="11">
        <v>282</v>
      </c>
      <c r="G7" s="11">
        <v>122</v>
      </c>
      <c r="H7" s="22">
        <v>0</v>
      </c>
      <c r="I7" s="11">
        <v>0</v>
      </c>
      <c r="J7" s="12">
        <v>57187284.670000002</v>
      </c>
      <c r="K7" s="222">
        <v>2859364.23</v>
      </c>
    </row>
    <row r="8" spans="1:11" ht="19.8" customHeight="1" thickTop="1" thickBot="1" x14ac:dyDescent="0.35">
      <c r="A8" s="221">
        <f t="shared" si="0"/>
        <v>5</v>
      </c>
      <c r="B8" s="22" t="s">
        <v>294</v>
      </c>
      <c r="C8" s="11" t="s">
        <v>293</v>
      </c>
      <c r="D8" s="22" t="s">
        <v>122</v>
      </c>
      <c r="E8" s="11" t="s">
        <v>116</v>
      </c>
      <c r="F8" s="11">
        <v>291</v>
      </c>
      <c r="G8" s="11">
        <v>0</v>
      </c>
      <c r="H8" s="22">
        <v>0</v>
      </c>
      <c r="I8" s="11">
        <v>0</v>
      </c>
      <c r="J8" s="12">
        <v>50080113.079999998</v>
      </c>
      <c r="K8" s="222">
        <v>2504005.65</v>
      </c>
    </row>
    <row r="9" spans="1:11" ht="19.8" customHeight="1" thickTop="1" thickBot="1" x14ac:dyDescent="0.35">
      <c r="A9" s="221">
        <f t="shared" si="0"/>
        <v>6</v>
      </c>
      <c r="B9" s="22" t="s">
        <v>295</v>
      </c>
      <c r="C9" s="11" t="s">
        <v>293</v>
      </c>
      <c r="D9" s="22" t="s">
        <v>122</v>
      </c>
      <c r="E9" s="11" t="s">
        <v>131</v>
      </c>
      <c r="F9" s="11">
        <v>281</v>
      </c>
      <c r="G9" s="11">
        <v>0</v>
      </c>
      <c r="H9" s="22">
        <v>0</v>
      </c>
      <c r="I9" s="11">
        <v>0</v>
      </c>
      <c r="J9" s="12">
        <v>50607911.579999998</v>
      </c>
      <c r="K9" s="222">
        <v>2530395.58</v>
      </c>
    </row>
    <row r="10" spans="1:11" ht="19.8" customHeight="1" thickTop="1" thickBot="1" x14ac:dyDescent="0.35">
      <c r="A10" s="221">
        <f t="shared" si="0"/>
        <v>7</v>
      </c>
      <c r="B10" s="22" t="s">
        <v>347</v>
      </c>
      <c r="C10" s="11" t="s">
        <v>296</v>
      </c>
      <c r="D10" s="22" t="s">
        <v>122</v>
      </c>
      <c r="E10" s="11" t="s">
        <v>116</v>
      </c>
      <c r="F10" s="11">
        <v>291</v>
      </c>
      <c r="G10" s="11">
        <v>0</v>
      </c>
      <c r="H10" s="22">
        <v>0</v>
      </c>
      <c r="I10" s="11">
        <v>0</v>
      </c>
      <c r="J10" s="12">
        <v>50745482.170000002</v>
      </c>
      <c r="K10" s="222">
        <v>2537274.11</v>
      </c>
    </row>
    <row r="11" spans="1:11" ht="19.8" customHeight="1" thickTop="1" thickBot="1" x14ac:dyDescent="0.35">
      <c r="A11" s="221">
        <f t="shared" si="0"/>
        <v>8</v>
      </c>
      <c r="B11" s="22" t="s">
        <v>297</v>
      </c>
      <c r="C11" s="11" t="s">
        <v>296</v>
      </c>
      <c r="D11" s="22" t="s">
        <v>298</v>
      </c>
      <c r="E11" s="11" t="s">
        <v>132</v>
      </c>
      <c r="F11" s="11">
        <v>251</v>
      </c>
      <c r="G11" s="11">
        <v>0</v>
      </c>
      <c r="H11" s="22">
        <v>0</v>
      </c>
      <c r="I11" s="11">
        <v>39.5</v>
      </c>
      <c r="J11" s="12">
        <v>53208778.18</v>
      </c>
      <c r="K11" s="222">
        <v>2660438.91</v>
      </c>
    </row>
    <row r="12" spans="1:11" ht="22.2" customHeight="1" thickTop="1" thickBot="1" x14ac:dyDescent="0.35">
      <c r="A12" s="223"/>
      <c r="B12" s="224">
        <v>0</v>
      </c>
      <c r="C12" s="225"/>
      <c r="D12" s="226"/>
      <c r="E12" s="226"/>
      <c r="F12" s="226"/>
      <c r="G12" s="226"/>
      <c r="H12" s="226"/>
      <c r="I12" s="226"/>
      <c r="J12" s="227">
        <v>0</v>
      </c>
      <c r="K12" s="228"/>
    </row>
    <row r="14" spans="1:11" x14ac:dyDescent="0.3">
      <c r="B14" s="129"/>
    </row>
    <row r="15" spans="1:11" x14ac:dyDescent="0.3">
      <c r="B15" s="130"/>
    </row>
    <row r="16" spans="1:11" x14ac:dyDescent="0.3">
      <c r="B16" s="129"/>
    </row>
    <row r="17" spans="2:2" x14ac:dyDescent="0.3">
      <c r="B17" s="129"/>
    </row>
    <row r="18" spans="2:2" x14ac:dyDescent="0.3">
      <c r="B18" s="129"/>
    </row>
    <row r="19" spans="2:2" x14ac:dyDescent="0.3">
      <c r="B19" s="129"/>
    </row>
    <row r="20" spans="2:2" x14ac:dyDescent="0.3">
      <c r="B20" s="129"/>
    </row>
    <row r="21" spans="2:2" x14ac:dyDescent="0.3">
      <c r="B21" s="129"/>
    </row>
    <row r="22" spans="2:2" x14ac:dyDescent="0.3">
      <c r="B22" s="129"/>
    </row>
    <row r="23" spans="2:2" x14ac:dyDescent="0.3">
      <c r="B23" s="129"/>
    </row>
    <row r="24" spans="2:2" x14ac:dyDescent="0.3">
      <c r="B24" s="129"/>
    </row>
  </sheetData>
  <mergeCells count="1">
    <mergeCell ref="A1:K1"/>
  </mergeCells>
  <conditionalFormatting sqref="B1:B1048576">
    <cfRule type="duplicateValues" dxfId="148" priority="1"/>
    <cfRule type="duplicateValues" dxfId="147" priority="2"/>
    <cfRule type="duplicateValues" dxfId="146" priority="3"/>
  </conditionalFormatting>
  <conditionalFormatting sqref="B4:B11">
    <cfRule type="duplicateValues" dxfId="145" priority="7834"/>
    <cfRule type="duplicateValues" dxfId="144" priority="7835"/>
  </conditionalFormatting>
  <conditionalFormatting sqref="B21:B1048576 B1:B14">
    <cfRule type="duplicateValues" dxfId="143" priority="4"/>
  </conditionalFormatting>
  <conditionalFormatting sqref="B22:B1048576 B1:B14">
    <cfRule type="duplicateValues" dxfId="142" priority="5"/>
  </conditionalFormatting>
  <conditionalFormatting sqref="B25:B1048576 B1:B13">
    <cfRule type="duplicateValues" dxfId="141" priority="7"/>
    <cfRule type="duplicateValues" dxfId="140" priority="8"/>
    <cfRule type="duplicateValues" dxfId="139" priority="9"/>
  </conditionalFormatting>
  <conditionalFormatting sqref="B25:B1048576 B1:B14">
    <cfRule type="duplicateValues" dxfId="138" priority="6"/>
  </conditionalFormatting>
  <conditionalFormatting sqref="B25:B1048576 B12:B13 B1:B3">
    <cfRule type="duplicateValues" dxfId="137" priority="13"/>
    <cfRule type="duplicateValues" dxfId="136" priority="14"/>
    <cfRule type="duplicateValues" dxfId="135" priority="15"/>
    <cfRule type="duplicateValues" dxfId="134" priority="17"/>
  </conditionalFormatting>
  <conditionalFormatting sqref="B25:B1048576">
    <cfRule type="duplicateValues" dxfId="133" priority="16"/>
    <cfRule type="duplicateValues" dxfId="132" priority="4142"/>
  </conditionalFormatting>
  <pageMargins left="0.25" right="0.25" top="0.75" bottom="0.25" header="0.05" footer="0.05"/>
  <pageSetup scale="5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view="pageBreakPreview" topLeftCell="A21" zoomScale="98" zoomScaleNormal="92" zoomScaleSheetLayoutView="100" workbookViewId="0">
      <selection activeCell="F27" sqref="F27"/>
    </sheetView>
  </sheetViews>
  <sheetFormatPr defaultColWidth="24" defaultRowHeight="14.4" x14ac:dyDescent="0.3"/>
  <cols>
    <col min="1" max="1" width="5.21875" style="1" customWidth="1"/>
    <col min="2" max="2" width="18.44140625" style="1" customWidth="1"/>
    <col min="3" max="3" width="25.109375" style="1" customWidth="1"/>
    <col min="4" max="4" width="13.6640625" style="1" customWidth="1"/>
    <col min="5" max="5" width="13" style="1" customWidth="1"/>
    <col min="6" max="6" width="22.109375" style="1" customWidth="1"/>
    <col min="7" max="7" width="19.5546875" customWidth="1"/>
  </cols>
  <sheetData>
    <row r="1" spans="1:7" ht="39" customHeight="1" thickBot="1" x14ac:dyDescent="0.35">
      <c r="A1" s="336" t="s">
        <v>24</v>
      </c>
      <c r="B1" s="337"/>
      <c r="C1" s="337"/>
      <c r="D1" s="337"/>
      <c r="E1" s="337"/>
      <c r="F1" s="337"/>
      <c r="G1" s="338"/>
    </row>
    <row r="2" spans="1:7" x14ac:dyDescent="0.3">
      <c r="A2" s="339"/>
      <c r="B2" s="340"/>
      <c r="C2" s="340"/>
      <c r="D2" s="340"/>
      <c r="E2" s="340"/>
      <c r="F2" s="340"/>
      <c r="G2" s="341"/>
    </row>
    <row r="3" spans="1:7" s="1" customFormat="1" ht="26.4" customHeight="1" thickBot="1" x14ac:dyDescent="0.35">
      <c r="A3" s="204" t="s">
        <v>5</v>
      </c>
      <c r="B3" s="38" t="s">
        <v>16</v>
      </c>
      <c r="C3" s="38" t="s">
        <v>7</v>
      </c>
      <c r="D3" s="38" t="s">
        <v>9</v>
      </c>
      <c r="E3" s="38" t="s">
        <v>4</v>
      </c>
      <c r="F3" s="38" t="s">
        <v>99</v>
      </c>
      <c r="G3" s="212" t="s">
        <v>100</v>
      </c>
    </row>
    <row r="4" spans="1:7" s="1" customFormat="1" ht="19.8" customHeight="1" thickTop="1" thickBot="1" x14ac:dyDescent="0.35">
      <c r="A4" s="213">
        <f>ROW()-3</f>
        <v>1</v>
      </c>
      <c r="B4" s="47" t="s">
        <v>77</v>
      </c>
      <c r="C4" s="47" t="s">
        <v>78</v>
      </c>
      <c r="D4" s="47">
        <v>195</v>
      </c>
      <c r="E4" s="47">
        <v>0</v>
      </c>
      <c r="F4" s="230">
        <v>17219572.91</v>
      </c>
      <c r="G4" s="231">
        <v>1721957.29</v>
      </c>
    </row>
    <row r="5" spans="1:7" s="1" customFormat="1" ht="19.8" customHeight="1" thickTop="1" thickBot="1" x14ac:dyDescent="0.35">
      <c r="A5" s="213">
        <f t="shared" ref="A5:A26" si="0">ROW()-3</f>
        <v>2</v>
      </c>
      <c r="B5" s="47" t="s">
        <v>80</v>
      </c>
      <c r="C5" s="47" t="s">
        <v>78</v>
      </c>
      <c r="D5" s="47">
        <v>195</v>
      </c>
      <c r="E5" s="47">
        <v>0</v>
      </c>
      <c r="F5" s="232">
        <v>17604474.579999998</v>
      </c>
      <c r="G5" s="233">
        <v>1760447.46</v>
      </c>
    </row>
    <row r="6" spans="1:7" s="1" customFormat="1" ht="19.8" customHeight="1" thickTop="1" thickBot="1" x14ac:dyDescent="0.35">
      <c r="A6" s="213">
        <f t="shared" si="0"/>
        <v>3</v>
      </c>
      <c r="B6" s="47" t="s">
        <v>81</v>
      </c>
      <c r="C6" s="47" t="s">
        <v>78</v>
      </c>
      <c r="D6" s="47">
        <v>195</v>
      </c>
      <c r="E6" s="47">
        <v>0</v>
      </c>
      <c r="F6" s="232">
        <v>17702747.350000001</v>
      </c>
      <c r="G6" s="233">
        <v>1770274.74</v>
      </c>
    </row>
    <row r="7" spans="1:7" s="1" customFormat="1" ht="19.8" customHeight="1" thickTop="1" thickBot="1" x14ac:dyDescent="0.35">
      <c r="A7" s="213">
        <f t="shared" si="0"/>
        <v>4</v>
      </c>
      <c r="B7" s="47" t="s">
        <v>82</v>
      </c>
      <c r="C7" s="47" t="s">
        <v>78</v>
      </c>
      <c r="D7" s="47">
        <v>195</v>
      </c>
      <c r="E7" s="47">
        <v>0</v>
      </c>
      <c r="F7" s="232">
        <v>16710586.99</v>
      </c>
      <c r="G7" s="233">
        <v>1671058.7</v>
      </c>
    </row>
    <row r="8" spans="1:7" s="1" customFormat="1" ht="19.8" customHeight="1" thickTop="1" thickBot="1" x14ac:dyDescent="0.35">
      <c r="A8" s="213">
        <f t="shared" si="0"/>
        <v>5</v>
      </c>
      <c r="B8" s="47" t="s">
        <v>83</v>
      </c>
      <c r="C8" s="47" t="s">
        <v>78</v>
      </c>
      <c r="D8" s="47">
        <v>195</v>
      </c>
      <c r="E8" s="47">
        <v>0</v>
      </c>
      <c r="F8" s="232">
        <v>16612800.720000001</v>
      </c>
      <c r="G8" s="233">
        <v>1661280.07</v>
      </c>
    </row>
    <row r="9" spans="1:7" s="1" customFormat="1" ht="19.8" customHeight="1" thickTop="1" thickBot="1" x14ac:dyDescent="0.35">
      <c r="A9" s="213">
        <f t="shared" si="0"/>
        <v>6</v>
      </c>
      <c r="B9" s="47" t="s">
        <v>84</v>
      </c>
      <c r="C9" s="47" t="s">
        <v>78</v>
      </c>
      <c r="D9" s="47">
        <v>195</v>
      </c>
      <c r="E9" s="47">
        <v>0</v>
      </c>
      <c r="F9" s="232">
        <v>17317845.670000002</v>
      </c>
      <c r="G9" s="233">
        <v>1731784.57</v>
      </c>
    </row>
    <row r="10" spans="1:7" s="1" customFormat="1" ht="19.8" customHeight="1" thickTop="1" thickBot="1" x14ac:dyDescent="0.35">
      <c r="A10" s="213">
        <f t="shared" si="0"/>
        <v>7</v>
      </c>
      <c r="B10" s="47" t="s">
        <v>56</v>
      </c>
      <c r="C10" s="47" t="s">
        <v>78</v>
      </c>
      <c r="D10" s="47">
        <v>195</v>
      </c>
      <c r="E10" s="47">
        <v>0</v>
      </c>
      <c r="F10" s="232">
        <v>16827030.68</v>
      </c>
      <c r="G10" s="233">
        <v>1682703.07</v>
      </c>
    </row>
    <row r="11" spans="1:7" s="1" customFormat="1" ht="19.8" customHeight="1" thickTop="1" thickBot="1" x14ac:dyDescent="0.35">
      <c r="A11" s="213">
        <f t="shared" si="0"/>
        <v>8</v>
      </c>
      <c r="B11" s="47" t="s">
        <v>85</v>
      </c>
      <c r="C11" s="47" t="s">
        <v>78</v>
      </c>
      <c r="D11" s="47">
        <v>195</v>
      </c>
      <c r="E11" s="47">
        <v>0</v>
      </c>
      <c r="F11" s="232">
        <v>17211248.370000001</v>
      </c>
      <c r="G11" s="233">
        <v>1721124.84</v>
      </c>
    </row>
    <row r="12" spans="1:7" s="1" customFormat="1" ht="19.8" customHeight="1" thickTop="1" thickBot="1" x14ac:dyDescent="0.35">
      <c r="A12" s="213">
        <f>ROW()-3</f>
        <v>9</v>
      </c>
      <c r="B12" s="47" t="s">
        <v>247</v>
      </c>
      <c r="C12" s="47" t="s">
        <v>79</v>
      </c>
      <c r="D12" s="47">
        <v>168</v>
      </c>
      <c r="E12" s="47">
        <v>0</v>
      </c>
      <c r="F12" s="232">
        <v>15506796.640000001</v>
      </c>
      <c r="G12" s="233">
        <v>1550679.66</v>
      </c>
    </row>
    <row r="13" spans="1:7" s="1" customFormat="1" ht="19.8" customHeight="1" thickTop="1" thickBot="1" x14ac:dyDescent="0.35">
      <c r="A13" s="213">
        <f t="shared" si="0"/>
        <v>10</v>
      </c>
      <c r="B13" s="47" t="s">
        <v>57</v>
      </c>
      <c r="C13" s="47" t="s">
        <v>78</v>
      </c>
      <c r="D13" s="47">
        <v>195</v>
      </c>
      <c r="E13" s="47">
        <v>0</v>
      </c>
      <c r="F13" s="232">
        <v>16932768.699999999</v>
      </c>
      <c r="G13" s="233">
        <v>1693276.87</v>
      </c>
    </row>
    <row r="14" spans="1:7" s="1" customFormat="1" ht="19.8" customHeight="1" thickTop="1" thickBot="1" x14ac:dyDescent="0.35">
      <c r="A14" s="213">
        <f t="shared" si="0"/>
        <v>11</v>
      </c>
      <c r="B14" s="47" t="s">
        <v>95</v>
      </c>
      <c r="C14" s="47" t="s">
        <v>79</v>
      </c>
      <c r="D14" s="47">
        <v>168</v>
      </c>
      <c r="E14" s="47">
        <v>0</v>
      </c>
      <c r="F14" s="232">
        <v>17018658.699999999</v>
      </c>
      <c r="G14" s="233">
        <v>1701865.87</v>
      </c>
    </row>
    <row r="15" spans="1:7" s="1" customFormat="1" ht="19.8" customHeight="1" thickTop="1" thickBot="1" x14ac:dyDescent="0.35">
      <c r="A15" s="213">
        <f t="shared" si="0"/>
        <v>12</v>
      </c>
      <c r="B15" s="47" t="s">
        <v>58</v>
      </c>
      <c r="C15" s="47" t="s">
        <v>78</v>
      </c>
      <c r="D15" s="47">
        <v>195</v>
      </c>
      <c r="E15" s="47">
        <v>0</v>
      </c>
      <c r="F15" s="232">
        <v>16964299.190000001</v>
      </c>
      <c r="G15" s="233">
        <v>1696429.92</v>
      </c>
    </row>
    <row r="16" spans="1:7" s="1" customFormat="1" ht="19.8" customHeight="1" thickTop="1" thickBot="1" x14ac:dyDescent="0.35">
      <c r="A16" s="213">
        <f t="shared" si="0"/>
        <v>13</v>
      </c>
      <c r="B16" s="47" t="s">
        <v>59</v>
      </c>
      <c r="C16" s="47" t="s">
        <v>78</v>
      </c>
      <c r="D16" s="47">
        <v>197</v>
      </c>
      <c r="E16" s="47">
        <v>0</v>
      </c>
      <c r="F16" s="232">
        <v>18059769.68</v>
      </c>
      <c r="G16" s="233">
        <v>1805976.97</v>
      </c>
    </row>
    <row r="17" spans="1:7" s="1" customFormat="1" ht="19.8" customHeight="1" thickTop="1" thickBot="1" x14ac:dyDescent="0.35">
      <c r="A17" s="213">
        <f t="shared" si="0"/>
        <v>14</v>
      </c>
      <c r="B17" s="47" t="s">
        <v>86</v>
      </c>
      <c r="C17" s="47" t="s">
        <v>78</v>
      </c>
      <c r="D17" s="47">
        <v>195</v>
      </c>
      <c r="E17" s="47">
        <v>0</v>
      </c>
      <c r="F17" s="232">
        <v>18053532.949999999</v>
      </c>
      <c r="G17" s="233">
        <v>1805353.29</v>
      </c>
    </row>
    <row r="18" spans="1:7" s="1" customFormat="1" ht="19.8" customHeight="1" thickTop="1" thickBot="1" x14ac:dyDescent="0.35">
      <c r="A18" s="213">
        <f t="shared" si="0"/>
        <v>15</v>
      </c>
      <c r="B18" s="47" t="s">
        <v>87</v>
      </c>
      <c r="C18" s="47" t="s">
        <v>78</v>
      </c>
      <c r="D18" s="47">
        <v>197</v>
      </c>
      <c r="E18" s="47">
        <v>0</v>
      </c>
      <c r="F18" s="232">
        <v>18274482.93</v>
      </c>
      <c r="G18" s="233">
        <v>1827448.29</v>
      </c>
    </row>
    <row r="19" spans="1:7" s="1" customFormat="1" ht="19.8" customHeight="1" thickTop="1" thickBot="1" x14ac:dyDescent="0.35">
      <c r="A19" s="213">
        <f t="shared" si="0"/>
        <v>16</v>
      </c>
      <c r="B19" s="47" t="s">
        <v>88</v>
      </c>
      <c r="C19" s="47" t="s">
        <v>78</v>
      </c>
      <c r="D19" s="47">
        <v>197</v>
      </c>
      <c r="E19" s="47">
        <v>0</v>
      </c>
      <c r="F19" s="232">
        <v>18381839.550000001</v>
      </c>
      <c r="G19" s="233">
        <v>1838183.96</v>
      </c>
    </row>
    <row r="20" spans="1:7" s="1" customFormat="1" ht="19.8" customHeight="1" thickTop="1" thickBot="1" x14ac:dyDescent="0.35">
      <c r="A20" s="213">
        <f t="shared" si="0"/>
        <v>17</v>
      </c>
      <c r="B20" s="47" t="s">
        <v>89</v>
      </c>
      <c r="C20" s="47" t="s">
        <v>78</v>
      </c>
      <c r="D20" s="47">
        <v>197</v>
      </c>
      <c r="E20" s="47">
        <v>0</v>
      </c>
      <c r="F20" s="232">
        <v>18435517.859999999</v>
      </c>
      <c r="G20" s="233">
        <v>1843551.79</v>
      </c>
    </row>
    <row r="21" spans="1:7" s="1" customFormat="1" ht="19.8" customHeight="1" thickTop="1" thickBot="1" x14ac:dyDescent="0.35">
      <c r="A21" s="213">
        <f t="shared" si="0"/>
        <v>18</v>
      </c>
      <c r="B21" s="47" t="s">
        <v>90</v>
      </c>
      <c r="C21" s="47" t="s">
        <v>78</v>
      </c>
      <c r="D21" s="47">
        <v>195</v>
      </c>
      <c r="E21" s="47">
        <v>0</v>
      </c>
      <c r="F21" s="232">
        <v>18053532.949999999</v>
      </c>
      <c r="G21" s="233">
        <v>1805353.29</v>
      </c>
    </row>
    <row r="22" spans="1:7" s="1" customFormat="1" ht="19.8" customHeight="1" thickTop="1" thickBot="1" x14ac:dyDescent="0.35">
      <c r="A22" s="213">
        <f t="shared" si="0"/>
        <v>19</v>
      </c>
      <c r="B22" s="47" t="s">
        <v>113</v>
      </c>
      <c r="C22" s="47" t="s">
        <v>78</v>
      </c>
      <c r="D22" s="47">
        <v>195</v>
      </c>
      <c r="E22" s="47">
        <v>0</v>
      </c>
      <c r="F22" s="232">
        <v>18938863.949999999</v>
      </c>
      <c r="G22" s="233">
        <v>1893886.39</v>
      </c>
    </row>
    <row r="23" spans="1:7" s="1" customFormat="1" ht="19.8" customHeight="1" thickTop="1" thickBot="1" x14ac:dyDescent="0.35">
      <c r="A23" s="213">
        <f t="shared" si="0"/>
        <v>20</v>
      </c>
      <c r="B23" s="47" t="s">
        <v>91</v>
      </c>
      <c r="C23" s="47" t="s">
        <v>78</v>
      </c>
      <c r="D23" s="47">
        <v>195</v>
      </c>
      <c r="E23" s="47">
        <v>0</v>
      </c>
      <c r="F23" s="232">
        <v>18584866.489999998</v>
      </c>
      <c r="G23" s="233">
        <v>1858486.65</v>
      </c>
    </row>
    <row r="24" spans="1:7" s="1" customFormat="1" ht="19.8" customHeight="1" thickTop="1" thickBot="1" x14ac:dyDescent="0.35">
      <c r="A24" s="213">
        <f t="shared" si="0"/>
        <v>21</v>
      </c>
      <c r="B24" s="47" t="s">
        <v>92</v>
      </c>
      <c r="C24" s="47" t="s">
        <v>78</v>
      </c>
      <c r="D24" s="47">
        <v>197</v>
      </c>
      <c r="E24" s="47">
        <v>0</v>
      </c>
      <c r="F24" s="232">
        <v>18059769.68</v>
      </c>
      <c r="G24" s="233">
        <v>1805976.97</v>
      </c>
    </row>
    <row r="25" spans="1:7" s="1" customFormat="1" ht="19.8" customHeight="1" thickTop="1" thickBot="1" x14ac:dyDescent="0.35">
      <c r="A25" s="213">
        <f t="shared" si="0"/>
        <v>22</v>
      </c>
      <c r="B25" s="47" t="s">
        <v>93</v>
      </c>
      <c r="C25" s="47" t="s">
        <v>78</v>
      </c>
      <c r="D25" s="47">
        <v>195</v>
      </c>
      <c r="E25" s="47">
        <v>0</v>
      </c>
      <c r="F25" s="232">
        <v>18159799.66</v>
      </c>
      <c r="G25" s="233">
        <v>1815979.97</v>
      </c>
    </row>
    <row r="26" spans="1:7" s="1" customFormat="1" ht="19.8" customHeight="1" thickTop="1" thickBot="1" x14ac:dyDescent="0.35">
      <c r="A26" s="213">
        <f t="shared" si="0"/>
        <v>23</v>
      </c>
      <c r="B26" s="47" t="s">
        <v>94</v>
      </c>
      <c r="C26" s="47" t="s">
        <v>78</v>
      </c>
      <c r="D26" s="47">
        <v>195</v>
      </c>
      <c r="E26" s="47">
        <v>0</v>
      </c>
      <c r="F26" s="234">
        <v>17422482.579999998</v>
      </c>
      <c r="G26" s="235">
        <v>1742248.26</v>
      </c>
    </row>
    <row r="27" spans="1:7" ht="23.4" customHeight="1" thickTop="1" thickBot="1" x14ac:dyDescent="0.35">
      <c r="A27" s="214"/>
      <c r="B27" s="215"/>
      <c r="C27" s="216"/>
      <c r="D27" s="216"/>
      <c r="E27" s="216"/>
      <c r="F27" s="217"/>
      <c r="G27" s="218"/>
    </row>
    <row r="28" spans="1:7" x14ac:dyDescent="0.3">
      <c r="A28" s="3"/>
      <c r="C28" s="3"/>
      <c r="D28" s="3"/>
      <c r="E28" s="3"/>
      <c r="F28" s="3"/>
    </row>
    <row r="29" spans="1:7" x14ac:dyDescent="0.3">
      <c r="A29" s="3"/>
      <c r="C29" s="3"/>
      <c r="D29" s="3"/>
      <c r="E29" s="3"/>
      <c r="F29" s="3"/>
    </row>
    <row r="30" spans="1:7" x14ac:dyDescent="0.3">
      <c r="C30" s="3"/>
      <c r="D30" s="3"/>
      <c r="E30" s="3"/>
    </row>
  </sheetData>
  <mergeCells count="2">
    <mergeCell ref="A1:G1"/>
    <mergeCell ref="A2:G2"/>
  </mergeCells>
  <conditionalFormatting sqref="A3">
    <cfRule type="duplicateValues" dxfId="131" priority="7"/>
    <cfRule type="duplicateValues" dxfId="130" priority="8"/>
    <cfRule type="duplicateValues" dxfId="129" priority="9"/>
  </conditionalFormatting>
  <conditionalFormatting sqref="B1:B1048576">
    <cfRule type="duplicateValues" dxfId="128" priority="1"/>
  </conditionalFormatting>
  <conditionalFormatting sqref="B3 G3">
    <cfRule type="duplicateValues" dxfId="127" priority="13"/>
    <cfRule type="duplicateValues" dxfId="126" priority="14"/>
    <cfRule type="duplicateValues" dxfId="125" priority="15"/>
  </conditionalFormatting>
  <conditionalFormatting sqref="B4:B26">
    <cfRule type="duplicateValues" dxfId="124" priority="5340"/>
    <cfRule type="duplicateValues" dxfId="123" priority="5341"/>
    <cfRule type="duplicateValues" dxfId="122" priority="5342"/>
  </conditionalFormatting>
  <conditionalFormatting sqref="B27">
    <cfRule type="duplicateValues" dxfId="121" priority="2"/>
    <cfRule type="duplicateValues" dxfId="120" priority="3"/>
    <cfRule type="duplicateValues" dxfId="119" priority="4"/>
    <cfRule type="duplicateValues" dxfId="118" priority="5"/>
    <cfRule type="duplicateValues" dxfId="117" priority="6"/>
  </conditionalFormatting>
  <conditionalFormatting sqref="B28:B1048576">
    <cfRule type="duplicateValues" dxfId="116" priority="24"/>
    <cfRule type="duplicateValues" dxfId="115" priority="4486"/>
    <cfRule type="duplicateValues" dxfId="114" priority="4489"/>
    <cfRule type="duplicateValues" dxfId="113" priority="4491"/>
    <cfRule type="duplicateValues" dxfId="112" priority="4492"/>
  </conditionalFormatting>
  <conditionalFormatting sqref="C31:C1048576">
    <cfRule type="duplicateValues" dxfId="111" priority="3699"/>
  </conditionalFormatting>
  <pageMargins left="0.25" right="0.25" top="0.5" bottom="0" header="0.3" footer="0.05"/>
  <pageSetup scale="88" fitToHeight="0" orientation="portrait" r:id="rId1"/>
  <rowBreaks count="1" manualBreakCount="1">
    <brk id="27" max="16383" man="1"/>
  </rowBreaks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FE23-806B-4212-AF64-B5A30B4084BD}">
  <sheetPr>
    <pageSetUpPr fitToPage="1"/>
  </sheetPr>
  <dimension ref="A1:J77"/>
  <sheetViews>
    <sheetView view="pageBreakPreview" topLeftCell="A20" zoomScale="80" zoomScaleNormal="82" zoomScaleSheetLayoutView="100" workbookViewId="0">
      <selection activeCell="I31" sqref="I31"/>
    </sheetView>
  </sheetViews>
  <sheetFormatPr defaultColWidth="19.33203125" defaultRowHeight="15" customHeight="1" x14ac:dyDescent="0.3"/>
  <cols>
    <col min="1" max="1" width="4.5546875" style="1" customWidth="1"/>
    <col min="2" max="2" width="19.88671875" style="1" customWidth="1"/>
    <col min="3" max="3" width="17.6640625" style="1" customWidth="1"/>
    <col min="4" max="4" width="13.33203125" style="1" customWidth="1"/>
    <col min="5" max="5" width="18.5546875" style="1" customWidth="1"/>
    <col min="6" max="6" width="13.5546875" style="1" customWidth="1"/>
    <col min="7" max="7" width="14.33203125" style="2" customWidth="1"/>
    <col min="8" max="8" width="14.5546875" style="2" customWidth="1"/>
    <col min="9" max="9" width="22.88671875" style="1" customWidth="1"/>
    <col min="10" max="10" width="17.6640625" style="1" customWidth="1"/>
    <col min="11" max="16384" width="19.33203125" style="1"/>
  </cols>
  <sheetData>
    <row r="1" spans="1:10" ht="42.6" customHeight="1" x14ac:dyDescent="0.3">
      <c r="A1" s="309" t="s">
        <v>32</v>
      </c>
      <c r="B1" s="309"/>
      <c r="C1" s="309"/>
      <c r="D1" s="309"/>
      <c r="E1" s="309"/>
      <c r="F1" s="309"/>
      <c r="G1" s="309"/>
      <c r="H1" s="309"/>
      <c r="I1" s="309"/>
      <c r="J1" s="309"/>
    </row>
    <row r="2" spans="1:10" s="9" customFormat="1" ht="15.6" customHeight="1" x14ac:dyDescent="0.3">
      <c r="A2" s="308"/>
      <c r="B2" s="308"/>
      <c r="C2" s="308"/>
      <c r="D2" s="308"/>
      <c r="E2" s="308"/>
      <c r="F2" s="308"/>
      <c r="G2" s="308"/>
      <c r="H2" s="308"/>
      <c r="I2" s="308"/>
      <c r="J2" s="308"/>
    </row>
    <row r="3" spans="1:10" ht="34.200000000000003" customHeight="1" thickBot="1" x14ac:dyDescent="0.35">
      <c r="A3" s="37" t="s">
        <v>5</v>
      </c>
      <c r="B3" s="103" t="s">
        <v>11</v>
      </c>
      <c r="C3" s="103" t="s">
        <v>8</v>
      </c>
      <c r="D3" s="103" t="s">
        <v>13</v>
      </c>
      <c r="E3" s="103" t="s">
        <v>44</v>
      </c>
      <c r="F3" s="103" t="s">
        <v>45</v>
      </c>
      <c r="G3" s="104" t="s">
        <v>4</v>
      </c>
      <c r="H3" s="104" t="s">
        <v>67</v>
      </c>
      <c r="I3" s="105" t="s">
        <v>46</v>
      </c>
      <c r="J3" s="103" t="s">
        <v>146</v>
      </c>
    </row>
    <row r="4" spans="1:10" ht="28.2" customHeight="1" thickTop="1" thickBot="1" x14ac:dyDescent="0.35">
      <c r="A4" s="15">
        <f t="shared" ref="A4:A30" si="0">ROW()-3</f>
        <v>1</v>
      </c>
      <c r="B4" s="109" t="s">
        <v>147</v>
      </c>
      <c r="C4" s="109" t="s">
        <v>114</v>
      </c>
      <c r="D4" s="109" t="s">
        <v>148</v>
      </c>
      <c r="E4" s="109" t="s">
        <v>149</v>
      </c>
      <c r="F4" s="109">
        <v>176</v>
      </c>
      <c r="G4" s="109">
        <v>226.38489999999999</v>
      </c>
      <c r="H4" s="109">
        <v>0</v>
      </c>
      <c r="I4" s="110">
        <v>22479914</v>
      </c>
      <c r="J4" s="110">
        <v>1123995.7</v>
      </c>
    </row>
    <row r="5" spans="1:10" ht="28.2" customHeight="1" thickTop="1" thickBot="1" x14ac:dyDescent="0.35">
      <c r="A5" s="137">
        <f t="shared" si="0"/>
        <v>2</v>
      </c>
      <c r="B5" s="109" t="s">
        <v>150</v>
      </c>
      <c r="C5" s="138" t="s">
        <v>114</v>
      </c>
      <c r="D5" s="109" t="s">
        <v>148</v>
      </c>
      <c r="E5" s="109" t="s">
        <v>149</v>
      </c>
      <c r="F5" s="109">
        <v>170</v>
      </c>
      <c r="G5" s="109">
        <v>93.882900000000006</v>
      </c>
      <c r="H5" s="109">
        <v>0</v>
      </c>
      <c r="I5" s="139">
        <v>17917782</v>
      </c>
      <c r="J5" s="139">
        <v>895889.1</v>
      </c>
    </row>
    <row r="6" spans="1:10" ht="28.2" customHeight="1" thickTop="1" thickBot="1" x14ac:dyDescent="0.35">
      <c r="A6" s="137">
        <f t="shared" si="0"/>
        <v>3</v>
      </c>
      <c r="B6" s="109" t="s">
        <v>151</v>
      </c>
      <c r="C6" s="138" t="s">
        <v>114</v>
      </c>
      <c r="D6" s="109" t="s">
        <v>152</v>
      </c>
      <c r="E6" s="109" t="s">
        <v>149</v>
      </c>
      <c r="F6" s="109">
        <v>176</v>
      </c>
      <c r="G6" s="109">
        <v>0</v>
      </c>
      <c r="H6" s="109">
        <v>0</v>
      </c>
      <c r="I6" s="139">
        <v>16301592</v>
      </c>
      <c r="J6" s="139">
        <v>815079.6</v>
      </c>
    </row>
    <row r="7" spans="1:10" ht="28.2" customHeight="1" thickTop="1" thickBot="1" x14ac:dyDescent="0.35">
      <c r="A7" s="137">
        <f t="shared" si="0"/>
        <v>4</v>
      </c>
      <c r="B7" s="109" t="s">
        <v>383</v>
      </c>
      <c r="C7" s="138" t="s">
        <v>114</v>
      </c>
      <c r="D7" s="109" t="s">
        <v>152</v>
      </c>
      <c r="E7" s="109" t="s">
        <v>153</v>
      </c>
      <c r="F7" s="109">
        <v>165</v>
      </c>
      <c r="G7" s="109">
        <v>0</v>
      </c>
      <c r="H7" s="109">
        <v>0</v>
      </c>
      <c r="I7" s="139">
        <v>14994956</v>
      </c>
      <c r="J7" s="139">
        <v>749747.8</v>
      </c>
    </row>
    <row r="8" spans="1:10" ht="28.2" customHeight="1" thickTop="1" thickBot="1" x14ac:dyDescent="0.35">
      <c r="A8" s="137">
        <f t="shared" si="0"/>
        <v>5</v>
      </c>
      <c r="B8" s="109" t="s">
        <v>154</v>
      </c>
      <c r="C8" s="138" t="s">
        <v>114</v>
      </c>
      <c r="D8" s="109" t="s">
        <v>152</v>
      </c>
      <c r="E8" s="109" t="s">
        <v>153</v>
      </c>
      <c r="F8" s="109">
        <v>145</v>
      </c>
      <c r="G8" s="109">
        <v>0</v>
      </c>
      <c r="H8" s="109">
        <v>0</v>
      </c>
      <c r="I8" s="139">
        <v>12133465</v>
      </c>
      <c r="J8" s="139">
        <v>606673.25</v>
      </c>
    </row>
    <row r="9" spans="1:10" ht="28.2" customHeight="1" thickTop="1" thickBot="1" x14ac:dyDescent="0.35">
      <c r="A9" s="137">
        <f t="shared" si="0"/>
        <v>6</v>
      </c>
      <c r="B9" s="109" t="s">
        <v>155</v>
      </c>
      <c r="C9" s="138" t="s">
        <v>114</v>
      </c>
      <c r="D9" s="109" t="s">
        <v>29</v>
      </c>
      <c r="E9" s="109" t="s">
        <v>149</v>
      </c>
      <c r="F9" s="109">
        <v>177</v>
      </c>
      <c r="G9" s="109">
        <v>0</v>
      </c>
      <c r="H9" s="109">
        <v>0</v>
      </c>
      <c r="I9" s="139">
        <v>16166911</v>
      </c>
      <c r="J9" s="110">
        <v>808345.55</v>
      </c>
    </row>
    <row r="10" spans="1:10" ht="28.2" customHeight="1" thickTop="1" thickBot="1" x14ac:dyDescent="0.35">
      <c r="A10" s="137">
        <f t="shared" si="0"/>
        <v>7</v>
      </c>
      <c r="B10" s="109" t="s">
        <v>156</v>
      </c>
      <c r="C10" s="138" t="s">
        <v>114</v>
      </c>
      <c r="D10" s="109" t="s">
        <v>29</v>
      </c>
      <c r="E10" s="109" t="s">
        <v>153</v>
      </c>
      <c r="F10" s="109">
        <v>142</v>
      </c>
      <c r="G10" s="109">
        <v>0</v>
      </c>
      <c r="H10" s="109">
        <v>0</v>
      </c>
      <c r="I10" s="139">
        <v>11901794</v>
      </c>
      <c r="J10" s="139">
        <v>595089.69999999995</v>
      </c>
    </row>
    <row r="11" spans="1:10" ht="28.2" customHeight="1" thickTop="1" thickBot="1" x14ac:dyDescent="0.35">
      <c r="A11" s="137">
        <f t="shared" si="0"/>
        <v>8</v>
      </c>
      <c r="B11" s="109" t="s">
        <v>157</v>
      </c>
      <c r="C11" s="138" t="s">
        <v>114</v>
      </c>
      <c r="D11" s="109" t="s">
        <v>30</v>
      </c>
      <c r="E11" s="109" t="s">
        <v>149</v>
      </c>
      <c r="F11" s="109">
        <v>177</v>
      </c>
      <c r="G11" s="109">
        <v>0</v>
      </c>
      <c r="H11" s="109">
        <v>0</v>
      </c>
      <c r="I11" s="139">
        <v>16248324</v>
      </c>
      <c r="J11" s="139">
        <v>812416.2</v>
      </c>
    </row>
    <row r="12" spans="1:10" ht="28.2" customHeight="1" thickTop="1" thickBot="1" x14ac:dyDescent="0.35">
      <c r="A12" s="137">
        <f t="shared" si="0"/>
        <v>9</v>
      </c>
      <c r="B12" s="109" t="s">
        <v>158</v>
      </c>
      <c r="C12" s="138" t="s">
        <v>114</v>
      </c>
      <c r="D12" s="109" t="s">
        <v>30</v>
      </c>
      <c r="E12" s="109" t="s">
        <v>153</v>
      </c>
      <c r="F12" s="109">
        <v>142</v>
      </c>
      <c r="G12" s="109">
        <v>0</v>
      </c>
      <c r="H12" s="109">
        <v>0</v>
      </c>
      <c r="I12" s="139">
        <v>11921161</v>
      </c>
      <c r="J12" s="110">
        <v>596058.05000000005</v>
      </c>
    </row>
    <row r="13" spans="1:10" ht="28.2" customHeight="1" thickTop="1" thickBot="1" x14ac:dyDescent="0.35">
      <c r="A13" s="137">
        <f t="shared" si="0"/>
        <v>10</v>
      </c>
      <c r="B13" s="109" t="s">
        <v>159</v>
      </c>
      <c r="C13" s="138" t="s">
        <v>114</v>
      </c>
      <c r="D13" s="109" t="s">
        <v>31</v>
      </c>
      <c r="E13" s="109" t="s">
        <v>149</v>
      </c>
      <c r="F13" s="109">
        <v>177</v>
      </c>
      <c r="G13" s="109">
        <v>0</v>
      </c>
      <c r="H13" s="109">
        <v>0</v>
      </c>
      <c r="I13" s="139">
        <v>16329737</v>
      </c>
      <c r="J13" s="139">
        <v>816486.85</v>
      </c>
    </row>
    <row r="14" spans="1:10" ht="28.2" customHeight="1" thickTop="1" thickBot="1" x14ac:dyDescent="0.35">
      <c r="A14" s="137">
        <f t="shared" si="0"/>
        <v>11</v>
      </c>
      <c r="B14" s="109" t="s">
        <v>160</v>
      </c>
      <c r="C14" s="138" t="s">
        <v>114</v>
      </c>
      <c r="D14" s="109" t="s">
        <v>161</v>
      </c>
      <c r="E14" s="109" t="s">
        <v>149</v>
      </c>
      <c r="F14" s="109">
        <v>176</v>
      </c>
      <c r="G14" s="109">
        <v>0</v>
      </c>
      <c r="H14" s="109">
        <v>0</v>
      </c>
      <c r="I14" s="139">
        <v>16584928</v>
      </c>
      <c r="J14" s="139">
        <v>829246.4</v>
      </c>
    </row>
    <row r="15" spans="1:10" ht="28.2" customHeight="1" thickTop="1" thickBot="1" x14ac:dyDescent="0.35">
      <c r="A15" s="137">
        <f t="shared" si="0"/>
        <v>12</v>
      </c>
      <c r="B15" s="109" t="s">
        <v>162</v>
      </c>
      <c r="C15" s="138" t="s">
        <v>114</v>
      </c>
      <c r="D15" s="109" t="s">
        <v>161</v>
      </c>
      <c r="E15" s="109" t="s">
        <v>149</v>
      </c>
      <c r="F15" s="109">
        <v>186</v>
      </c>
      <c r="G15" s="109">
        <v>0</v>
      </c>
      <c r="H15" s="109">
        <v>0</v>
      </c>
      <c r="I15" s="139">
        <v>17287469</v>
      </c>
      <c r="J15" s="139">
        <v>864373.45</v>
      </c>
    </row>
    <row r="16" spans="1:10" ht="28.2" customHeight="1" thickTop="1" thickBot="1" x14ac:dyDescent="0.35">
      <c r="A16" s="137">
        <f t="shared" si="0"/>
        <v>13</v>
      </c>
      <c r="B16" s="109" t="s">
        <v>163</v>
      </c>
      <c r="C16" s="138" t="s">
        <v>114</v>
      </c>
      <c r="D16" s="109" t="s">
        <v>161</v>
      </c>
      <c r="E16" s="109" t="s">
        <v>149</v>
      </c>
      <c r="F16" s="109">
        <v>177</v>
      </c>
      <c r="G16" s="109">
        <v>0</v>
      </c>
      <c r="H16" s="109">
        <v>0</v>
      </c>
      <c r="I16" s="139">
        <v>16370443</v>
      </c>
      <c r="J16" s="110">
        <v>818522.15</v>
      </c>
    </row>
    <row r="17" spans="1:10" ht="28.2" customHeight="1" thickTop="1" thickBot="1" x14ac:dyDescent="0.35">
      <c r="A17" s="137">
        <f t="shared" si="0"/>
        <v>14</v>
      </c>
      <c r="B17" s="109" t="s">
        <v>164</v>
      </c>
      <c r="C17" s="138" t="s">
        <v>114</v>
      </c>
      <c r="D17" s="109" t="s">
        <v>161</v>
      </c>
      <c r="E17" s="109" t="s">
        <v>153</v>
      </c>
      <c r="F17" s="109">
        <v>142</v>
      </c>
      <c r="G17" s="109">
        <v>0</v>
      </c>
      <c r="H17" s="109">
        <v>0</v>
      </c>
      <c r="I17" s="139">
        <v>11950210</v>
      </c>
      <c r="J17" s="139">
        <v>597510.5</v>
      </c>
    </row>
    <row r="18" spans="1:10" ht="28.2" customHeight="1" thickTop="1" thickBot="1" x14ac:dyDescent="0.35">
      <c r="A18" s="137">
        <f t="shared" si="0"/>
        <v>15</v>
      </c>
      <c r="B18" s="109" t="s">
        <v>167</v>
      </c>
      <c r="C18" s="138" t="s">
        <v>165</v>
      </c>
      <c r="D18" s="109" t="s">
        <v>166</v>
      </c>
      <c r="E18" s="109" t="s">
        <v>149</v>
      </c>
      <c r="F18" s="109">
        <v>240</v>
      </c>
      <c r="G18" s="109">
        <v>0</v>
      </c>
      <c r="H18" s="109">
        <v>85.14</v>
      </c>
      <c r="I18" s="139">
        <v>24655624</v>
      </c>
      <c r="J18" s="139">
        <v>1232781.2</v>
      </c>
    </row>
    <row r="19" spans="1:10" ht="28.2" customHeight="1" thickTop="1" thickBot="1" x14ac:dyDescent="0.35">
      <c r="A19" s="137">
        <f t="shared" si="0"/>
        <v>16</v>
      </c>
      <c r="B19" s="109" t="s">
        <v>168</v>
      </c>
      <c r="C19" s="138" t="s">
        <v>114</v>
      </c>
      <c r="D19" s="109" t="s">
        <v>148</v>
      </c>
      <c r="E19" s="109" t="s">
        <v>149</v>
      </c>
      <c r="F19" s="109">
        <v>185</v>
      </c>
      <c r="G19" s="109">
        <v>171.7097</v>
      </c>
      <c r="H19" s="109">
        <v>0</v>
      </c>
      <c r="I19" s="139">
        <v>21797674</v>
      </c>
      <c r="J19" s="110">
        <v>1089883.7</v>
      </c>
    </row>
    <row r="20" spans="1:10" ht="28.2" customHeight="1" thickTop="1" thickBot="1" x14ac:dyDescent="0.35">
      <c r="A20" s="137">
        <f t="shared" si="0"/>
        <v>17</v>
      </c>
      <c r="B20" s="109" t="s">
        <v>169</v>
      </c>
      <c r="C20" s="138" t="s">
        <v>114</v>
      </c>
      <c r="D20" s="109" t="s">
        <v>148</v>
      </c>
      <c r="E20" s="109" t="s">
        <v>149</v>
      </c>
      <c r="F20" s="109">
        <v>179</v>
      </c>
      <c r="G20" s="109">
        <v>86.025599999999997</v>
      </c>
      <c r="H20" s="109">
        <v>0</v>
      </c>
      <c r="I20" s="139">
        <v>18556104</v>
      </c>
      <c r="J20" s="139">
        <v>927805.2</v>
      </c>
    </row>
    <row r="21" spans="1:10" ht="28.2" customHeight="1" thickTop="1" thickBot="1" x14ac:dyDescent="0.35">
      <c r="A21" s="137">
        <f t="shared" si="0"/>
        <v>18</v>
      </c>
      <c r="B21" s="109" t="s">
        <v>170</v>
      </c>
      <c r="C21" s="138" t="s">
        <v>114</v>
      </c>
      <c r="D21" s="109" t="s">
        <v>152</v>
      </c>
      <c r="E21" s="109" t="s">
        <v>149</v>
      </c>
      <c r="F21" s="109">
        <v>186</v>
      </c>
      <c r="G21" s="109">
        <v>0</v>
      </c>
      <c r="H21" s="109">
        <v>0</v>
      </c>
      <c r="I21" s="139">
        <v>17227819</v>
      </c>
      <c r="J21" s="139">
        <v>861390.95</v>
      </c>
    </row>
    <row r="22" spans="1:10" ht="28.2" customHeight="1" thickTop="1" thickBot="1" x14ac:dyDescent="0.35">
      <c r="A22" s="137">
        <f t="shared" si="0"/>
        <v>19</v>
      </c>
      <c r="B22" s="109" t="s">
        <v>171</v>
      </c>
      <c r="C22" s="138" t="s">
        <v>114</v>
      </c>
      <c r="D22" s="109" t="s">
        <v>152</v>
      </c>
      <c r="E22" s="109" t="s">
        <v>153</v>
      </c>
      <c r="F22" s="109">
        <v>140</v>
      </c>
      <c r="G22" s="109">
        <v>0</v>
      </c>
      <c r="H22" s="109">
        <v>0</v>
      </c>
      <c r="I22" s="139">
        <v>11982382</v>
      </c>
      <c r="J22" s="110">
        <v>599119.1</v>
      </c>
    </row>
    <row r="23" spans="1:10" ht="28.2" customHeight="1" thickTop="1" thickBot="1" x14ac:dyDescent="0.35">
      <c r="A23" s="137">
        <f t="shared" si="0"/>
        <v>20</v>
      </c>
      <c r="B23" s="109" t="s">
        <v>172</v>
      </c>
      <c r="C23" s="138" t="s">
        <v>114</v>
      </c>
      <c r="D23" s="109" t="s">
        <v>29</v>
      </c>
      <c r="E23" s="109" t="s">
        <v>149</v>
      </c>
      <c r="F23" s="109">
        <v>186</v>
      </c>
      <c r="G23" s="109">
        <v>0</v>
      </c>
      <c r="H23" s="109">
        <v>0</v>
      </c>
      <c r="I23" s="139">
        <v>17313372</v>
      </c>
      <c r="J23" s="139">
        <v>865668.6</v>
      </c>
    </row>
    <row r="24" spans="1:10" ht="28.2" customHeight="1" thickTop="1" thickBot="1" x14ac:dyDescent="0.35">
      <c r="A24" s="137">
        <f t="shared" si="0"/>
        <v>21</v>
      </c>
      <c r="B24" s="109" t="s">
        <v>173</v>
      </c>
      <c r="C24" s="138" t="s">
        <v>114</v>
      </c>
      <c r="D24" s="109" t="s">
        <v>29</v>
      </c>
      <c r="E24" s="109" t="s">
        <v>149</v>
      </c>
      <c r="F24" s="109">
        <v>198</v>
      </c>
      <c r="G24" s="109">
        <v>0</v>
      </c>
      <c r="H24" s="109">
        <v>0</v>
      </c>
      <c r="I24" s="139">
        <v>17769704</v>
      </c>
      <c r="J24" s="139">
        <v>888485.2</v>
      </c>
    </row>
    <row r="25" spans="1:10" ht="28.2" customHeight="1" thickTop="1" thickBot="1" x14ac:dyDescent="0.35">
      <c r="A25" s="15">
        <f>ROW()-3</f>
        <v>22</v>
      </c>
      <c r="B25" s="109" t="s">
        <v>174</v>
      </c>
      <c r="C25" s="138" t="s">
        <v>114</v>
      </c>
      <c r="D25" s="109" t="s">
        <v>30</v>
      </c>
      <c r="E25" s="109" t="s">
        <v>149</v>
      </c>
      <c r="F25" s="109">
        <v>198</v>
      </c>
      <c r="G25" s="109">
        <v>0</v>
      </c>
      <c r="H25" s="109">
        <v>0</v>
      </c>
      <c r="I25" s="156">
        <v>17860776</v>
      </c>
      <c r="J25" s="157">
        <v>893038.8</v>
      </c>
    </row>
    <row r="26" spans="1:10" ht="28.2" customHeight="1" thickTop="1" thickBot="1" x14ac:dyDescent="0.35">
      <c r="A26" s="137">
        <f t="shared" si="0"/>
        <v>23</v>
      </c>
      <c r="B26" s="109" t="s">
        <v>192</v>
      </c>
      <c r="C26" s="138" t="s">
        <v>114</v>
      </c>
      <c r="D26" s="109" t="s">
        <v>31</v>
      </c>
      <c r="E26" s="109" t="s">
        <v>149</v>
      </c>
      <c r="F26" s="109">
        <v>186</v>
      </c>
      <c r="G26" s="109">
        <v>0</v>
      </c>
      <c r="H26" s="109">
        <v>0</v>
      </c>
      <c r="I26" s="139">
        <v>17484477</v>
      </c>
      <c r="J26" s="139">
        <v>874223.85</v>
      </c>
    </row>
    <row r="27" spans="1:10" ht="28.2" customHeight="1" thickTop="1" thickBot="1" x14ac:dyDescent="0.35">
      <c r="A27" s="137">
        <f t="shared" si="0"/>
        <v>24</v>
      </c>
      <c r="B27" s="109" t="s">
        <v>175</v>
      </c>
      <c r="C27" s="138" t="s">
        <v>114</v>
      </c>
      <c r="D27" s="109" t="s">
        <v>31</v>
      </c>
      <c r="E27" s="109" t="s">
        <v>149</v>
      </c>
      <c r="F27" s="109">
        <v>198</v>
      </c>
      <c r="G27" s="109">
        <v>0</v>
      </c>
      <c r="H27" s="109">
        <v>0</v>
      </c>
      <c r="I27" s="139">
        <v>17951848</v>
      </c>
      <c r="J27" s="139">
        <v>897592.4</v>
      </c>
    </row>
    <row r="28" spans="1:10" ht="28.2" customHeight="1" thickTop="1" thickBot="1" x14ac:dyDescent="0.35">
      <c r="A28" s="137">
        <f t="shared" si="0"/>
        <v>25</v>
      </c>
      <c r="B28" s="109" t="s">
        <v>176</v>
      </c>
      <c r="C28" s="138" t="s">
        <v>114</v>
      </c>
      <c r="D28" s="109" t="s">
        <v>161</v>
      </c>
      <c r="E28" s="109" t="s">
        <v>149</v>
      </c>
      <c r="F28" s="109">
        <v>186</v>
      </c>
      <c r="G28" s="109">
        <v>0</v>
      </c>
      <c r="H28" s="109">
        <v>0</v>
      </c>
      <c r="I28" s="139">
        <v>17527254</v>
      </c>
      <c r="J28" s="139">
        <v>876362.7</v>
      </c>
    </row>
    <row r="29" spans="1:10" ht="28.2" customHeight="1" thickTop="1" thickBot="1" x14ac:dyDescent="0.35">
      <c r="A29" s="137">
        <f>ROW()-3</f>
        <v>26</v>
      </c>
      <c r="B29" s="109" t="s">
        <v>177</v>
      </c>
      <c r="C29" s="138" t="s">
        <v>114</v>
      </c>
      <c r="D29" s="109" t="s">
        <v>161</v>
      </c>
      <c r="E29" s="109" t="s">
        <v>149</v>
      </c>
      <c r="F29" s="109">
        <v>198</v>
      </c>
      <c r="G29" s="109">
        <v>0</v>
      </c>
      <c r="H29" s="109">
        <v>0</v>
      </c>
      <c r="I29" s="139">
        <v>17997384</v>
      </c>
      <c r="J29" s="139">
        <v>899869.2</v>
      </c>
    </row>
    <row r="30" spans="1:10" ht="28.2" customHeight="1" thickTop="1" thickBot="1" x14ac:dyDescent="0.35">
      <c r="A30" s="137">
        <f t="shared" si="0"/>
        <v>27</v>
      </c>
      <c r="B30" s="109" t="s">
        <v>178</v>
      </c>
      <c r="C30" s="138" t="s">
        <v>114</v>
      </c>
      <c r="D30" s="109" t="s">
        <v>161</v>
      </c>
      <c r="E30" s="109" t="s">
        <v>153</v>
      </c>
      <c r="F30" s="109">
        <v>130</v>
      </c>
      <c r="G30" s="109">
        <v>0</v>
      </c>
      <c r="H30" s="109">
        <v>0</v>
      </c>
      <c r="I30" s="139">
        <v>11188552</v>
      </c>
      <c r="J30" s="139">
        <v>559427.6</v>
      </c>
    </row>
    <row r="31" spans="1:10" ht="27.6" customHeight="1" thickTop="1" x14ac:dyDescent="0.3">
      <c r="A31" s="16"/>
      <c r="B31" s="200"/>
      <c r="C31" s="18"/>
      <c r="D31" s="18"/>
      <c r="E31" s="18"/>
      <c r="F31" s="19"/>
      <c r="G31" s="17"/>
      <c r="H31" s="17"/>
      <c r="I31" s="248"/>
      <c r="J31" s="26"/>
    </row>
    <row r="33" spans="2:9" ht="15" customHeight="1" x14ac:dyDescent="0.3">
      <c r="F33" s="71"/>
      <c r="G33" s="1"/>
      <c r="H33" s="1"/>
    </row>
    <row r="34" spans="2:9" ht="15" customHeight="1" x14ac:dyDescent="0.25">
      <c r="B34" s="148"/>
      <c r="C34" s="93"/>
      <c r="D34" s="92"/>
      <c r="E34" s="92"/>
      <c r="F34" s="92"/>
      <c r="G34" s="92"/>
      <c r="H34" s="93"/>
      <c r="I34" s="94"/>
    </row>
    <row r="35" spans="2:9" ht="15" customHeight="1" x14ac:dyDescent="0.3">
      <c r="B35" s="129"/>
      <c r="C35" s="96"/>
      <c r="D35" s="95"/>
      <c r="E35" s="95"/>
      <c r="F35" s="95"/>
      <c r="G35" s="95"/>
      <c r="H35" s="96"/>
      <c r="I35" s="97"/>
    </row>
    <row r="36" spans="2:9" ht="15" customHeight="1" x14ac:dyDescent="0.3">
      <c r="B36" s="129"/>
      <c r="C36" s="96"/>
      <c r="D36" s="95"/>
      <c r="E36" s="95"/>
      <c r="F36" s="95"/>
      <c r="G36" s="95"/>
      <c r="H36" s="96"/>
      <c r="I36" s="97"/>
    </row>
    <row r="37" spans="2:9" ht="15" customHeight="1" x14ac:dyDescent="0.3">
      <c r="B37" s="129"/>
      <c r="C37" s="96"/>
      <c r="D37" s="95"/>
      <c r="E37" s="95"/>
      <c r="F37" s="95"/>
      <c r="G37" s="95"/>
      <c r="H37" s="96"/>
      <c r="I37" s="97"/>
    </row>
    <row r="38" spans="2:9" ht="15" customHeight="1" x14ac:dyDescent="0.3">
      <c r="B38" s="129"/>
      <c r="C38" s="93"/>
      <c r="D38" s="92"/>
      <c r="E38" s="92"/>
      <c r="F38" s="92"/>
      <c r="G38" s="92"/>
      <c r="H38" s="93"/>
      <c r="I38" s="94"/>
    </row>
    <row r="39" spans="2:9" ht="15" customHeight="1" x14ac:dyDescent="0.3">
      <c r="B39" s="129"/>
      <c r="C39" s="93"/>
      <c r="D39" s="92"/>
      <c r="E39" s="92"/>
      <c r="F39" s="92"/>
      <c r="G39" s="92"/>
      <c r="H39" s="93"/>
      <c r="I39" s="94"/>
    </row>
    <row r="40" spans="2:9" ht="15" customHeight="1" x14ac:dyDescent="0.3">
      <c r="B40" s="129"/>
      <c r="C40" s="93"/>
      <c r="D40" s="92"/>
      <c r="E40" s="92"/>
      <c r="F40" s="92"/>
      <c r="G40" s="92"/>
      <c r="H40" s="93"/>
      <c r="I40" s="94"/>
    </row>
    <row r="41" spans="2:9" ht="15" customHeight="1" x14ac:dyDescent="0.3">
      <c r="B41" s="129"/>
      <c r="C41" s="93"/>
      <c r="D41" s="92"/>
      <c r="E41" s="92"/>
      <c r="F41" s="92"/>
      <c r="G41" s="92"/>
      <c r="H41" s="93"/>
      <c r="I41" s="94"/>
    </row>
    <row r="42" spans="2:9" ht="15" customHeight="1" x14ac:dyDescent="0.3">
      <c r="B42" s="129"/>
      <c r="C42" s="93"/>
      <c r="D42" s="92"/>
      <c r="E42" s="92"/>
      <c r="F42" s="92"/>
      <c r="G42" s="92"/>
      <c r="H42" s="93"/>
      <c r="I42" s="94"/>
    </row>
    <row r="43" spans="2:9" ht="15" customHeight="1" x14ac:dyDescent="0.3">
      <c r="B43" s="129"/>
      <c r="C43" s="93"/>
      <c r="D43" s="92"/>
      <c r="E43" s="92"/>
      <c r="F43" s="92"/>
      <c r="G43" s="92"/>
      <c r="H43" s="93"/>
      <c r="I43" s="94"/>
    </row>
    <row r="44" spans="2:9" ht="15" customHeight="1" x14ac:dyDescent="0.3">
      <c r="B44" s="129"/>
      <c r="C44" s="93"/>
      <c r="D44" s="92"/>
      <c r="E44" s="92"/>
      <c r="F44" s="92"/>
      <c r="G44" s="92"/>
      <c r="H44" s="93"/>
      <c r="I44" s="94"/>
    </row>
    <row r="45" spans="2:9" ht="15" customHeight="1" x14ac:dyDescent="0.3">
      <c r="B45" s="129"/>
      <c r="C45" s="93"/>
      <c r="D45" s="92"/>
      <c r="E45" s="92"/>
      <c r="F45" s="92"/>
      <c r="G45" s="92"/>
      <c r="H45" s="93"/>
      <c r="I45" s="94"/>
    </row>
    <row r="46" spans="2:9" ht="15" customHeight="1" x14ac:dyDescent="0.3">
      <c r="B46" s="129"/>
      <c r="C46" s="93"/>
      <c r="D46" s="92"/>
      <c r="E46" s="92"/>
      <c r="F46" s="92"/>
      <c r="G46" s="92"/>
      <c r="H46" s="93"/>
      <c r="I46" s="94"/>
    </row>
    <row r="47" spans="2:9" ht="15" customHeight="1" x14ac:dyDescent="0.3">
      <c r="B47" s="129"/>
      <c r="C47" s="93"/>
      <c r="D47" s="92"/>
      <c r="E47" s="92"/>
      <c r="F47" s="92"/>
      <c r="G47" s="92"/>
      <c r="H47" s="93"/>
      <c r="I47" s="94"/>
    </row>
    <row r="48" spans="2:9" ht="15" customHeight="1" x14ac:dyDescent="0.3">
      <c r="B48" s="129"/>
      <c r="C48" s="93"/>
      <c r="D48" s="92"/>
      <c r="E48" s="92"/>
      <c r="F48" s="92"/>
      <c r="G48" s="92"/>
      <c r="H48" s="93"/>
      <c r="I48" s="94"/>
    </row>
    <row r="49" spans="2:9" ht="15" customHeight="1" x14ac:dyDescent="0.3">
      <c r="B49" s="129"/>
      <c r="C49" s="93"/>
      <c r="D49" s="92"/>
      <c r="E49" s="92"/>
      <c r="F49" s="92"/>
      <c r="G49" s="92"/>
      <c r="H49" s="93"/>
      <c r="I49" s="94"/>
    </row>
    <row r="50" spans="2:9" ht="15" customHeight="1" x14ac:dyDescent="0.3">
      <c r="B50" s="129"/>
      <c r="C50" s="93"/>
      <c r="D50" s="92"/>
      <c r="E50" s="92"/>
      <c r="F50" s="92"/>
      <c r="G50" s="92"/>
      <c r="H50" s="93"/>
      <c r="I50" s="94"/>
    </row>
    <row r="51" spans="2:9" ht="15" customHeight="1" x14ac:dyDescent="0.3">
      <c r="B51" s="129"/>
      <c r="C51" s="93"/>
      <c r="D51" s="92"/>
      <c r="E51" s="92"/>
      <c r="F51" s="92"/>
      <c r="G51" s="92"/>
      <c r="H51" s="93"/>
      <c r="I51" s="94"/>
    </row>
    <row r="52" spans="2:9" ht="15" customHeight="1" x14ac:dyDescent="0.3">
      <c r="B52" s="129"/>
      <c r="C52" s="93"/>
      <c r="D52" s="92"/>
      <c r="E52" s="92"/>
      <c r="F52" s="92"/>
      <c r="G52" s="92"/>
      <c r="H52" s="93"/>
      <c r="I52" s="94"/>
    </row>
    <row r="53" spans="2:9" ht="15" customHeight="1" x14ac:dyDescent="0.3">
      <c r="B53" s="129"/>
      <c r="C53" s="93"/>
      <c r="D53" s="92"/>
      <c r="E53" s="92"/>
      <c r="F53" s="92"/>
      <c r="G53" s="92"/>
      <c r="H53" s="93"/>
      <c r="I53" s="94"/>
    </row>
    <row r="54" spans="2:9" ht="15" customHeight="1" x14ac:dyDescent="0.3">
      <c r="B54" s="129"/>
      <c r="C54" s="93"/>
      <c r="D54" s="92"/>
      <c r="E54" s="92"/>
      <c r="F54" s="92"/>
      <c r="G54" s="92"/>
      <c r="H54" s="93"/>
      <c r="I54" s="94"/>
    </row>
    <row r="55" spans="2:9" ht="15" customHeight="1" x14ac:dyDescent="0.3">
      <c r="B55" s="129"/>
      <c r="C55" s="93"/>
      <c r="D55" s="92"/>
      <c r="E55" s="92"/>
      <c r="F55" s="92"/>
      <c r="G55" s="92"/>
      <c r="H55" s="93"/>
      <c r="I55" s="94"/>
    </row>
    <row r="56" spans="2:9" ht="15" customHeight="1" x14ac:dyDescent="0.3">
      <c r="B56" s="129"/>
      <c r="C56" s="93"/>
      <c r="D56" s="92"/>
      <c r="E56" s="92"/>
      <c r="F56" s="92"/>
      <c r="G56" s="92"/>
      <c r="H56" s="93"/>
      <c r="I56" s="94"/>
    </row>
    <row r="57" spans="2:9" ht="15" customHeight="1" x14ac:dyDescent="0.3">
      <c r="B57" s="129"/>
      <c r="C57" s="9"/>
      <c r="D57" s="9"/>
      <c r="E57" s="98"/>
      <c r="F57" s="9"/>
      <c r="G57" s="71"/>
      <c r="H57" s="71"/>
    </row>
    <row r="58" spans="2:9" ht="15" customHeight="1" x14ac:dyDescent="0.3">
      <c r="B58" s="129"/>
      <c r="C58" s="9"/>
      <c r="D58" s="9"/>
      <c r="E58" s="98"/>
      <c r="F58" s="9"/>
      <c r="G58" s="71"/>
      <c r="H58" s="71"/>
    </row>
    <row r="59" spans="2:9" ht="15" customHeight="1" x14ac:dyDescent="0.3">
      <c r="B59" s="129"/>
      <c r="C59" s="9"/>
      <c r="D59" s="9"/>
      <c r="E59" s="98"/>
      <c r="F59" s="9"/>
    </row>
    <row r="60" spans="2:9" ht="15" customHeight="1" x14ac:dyDescent="0.3">
      <c r="B60" s="129"/>
      <c r="C60" s="9"/>
      <c r="D60" s="9"/>
      <c r="E60" s="98"/>
      <c r="F60" s="9"/>
    </row>
    <row r="61" spans="2:9" ht="15" customHeight="1" x14ac:dyDescent="0.3">
      <c r="B61" s="129"/>
      <c r="C61" s="9"/>
      <c r="D61" s="9"/>
      <c r="E61" s="9"/>
      <c r="F61" s="9"/>
    </row>
    <row r="62" spans="2:9" ht="15" customHeight="1" x14ac:dyDescent="0.3">
      <c r="B62" s="129"/>
    </row>
    <row r="63" spans="2:9" ht="15" customHeight="1" x14ac:dyDescent="0.3">
      <c r="B63" s="129"/>
    </row>
    <row r="64" spans="2:9" ht="15" customHeight="1" x14ac:dyDescent="0.3">
      <c r="B64" s="129"/>
    </row>
    <row r="65" spans="2:2" ht="15" customHeight="1" x14ac:dyDescent="0.3">
      <c r="B65" s="129"/>
    </row>
    <row r="66" spans="2:2" ht="15" customHeight="1" x14ac:dyDescent="0.3">
      <c r="B66" s="129"/>
    </row>
    <row r="67" spans="2:2" ht="15" customHeight="1" x14ac:dyDescent="0.3">
      <c r="B67" s="129"/>
    </row>
    <row r="68" spans="2:2" ht="15" customHeight="1" x14ac:dyDescent="0.3">
      <c r="B68" s="129"/>
    </row>
    <row r="69" spans="2:2" ht="15" customHeight="1" x14ac:dyDescent="0.3">
      <c r="B69" s="129"/>
    </row>
    <row r="70" spans="2:2" ht="15" customHeight="1" x14ac:dyDescent="0.3">
      <c r="B70" s="129"/>
    </row>
    <row r="71" spans="2:2" ht="15" customHeight="1" x14ac:dyDescent="0.3">
      <c r="B71" s="129"/>
    </row>
    <row r="72" spans="2:2" ht="15" customHeight="1" x14ac:dyDescent="0.3">
      <c r="B72" s="129"/>
    </row>
    <row r="73" spans="2:2" ht="15" customHeight="1" x14ac:dyDescent="0.3">
      <c r="B73" s="129"/>
    </row>
    <row r="74" spans="2:2" ht="15" customHeight="1" x14ac:dyDescent="0.3">
      <c r="B74" s="129"/>
    </row>
    <row r="75" spans="2:2" ht="15" customHeight="1" x14ac:dyDescent="0.3">
      <c r="B75" s="129"/>
    </row>
    <row r="76" spans="2:2" ht="15" customHeight="1" x14ac:dyDescent="0.3">
      <c r="B76" s="129"/>
    </row>
    <row r="77" spans="2:2" ht="15" customHeight="1" x14ac:dyDescent="0.3">
      <c r="B77" s="129"/>
    </row>
  </sheetData>
  <mergeCells count="2">
    <mergeCell ref="A2:J2"/>
    <mergeCell ref="A1:J1"/>
  </mergeCells>
  <phoneticPr fontId="21" type="noConversion"/>
  <conditionalFormatting sqref="A4:A30">
    <cfRule type="duplicateValues" dxfId="110" priority="5657"/>
  </conditionalFormatting>
  <conditionalFormatting sqref="B1:B1048576">
    <cfRule type="duplicateValues" dxfId="109" priority="1"/>
  </conditionalFormatting>
  <conditionalFormatting sqref="B31:B32">
    <cfRule type="duplicateValues" dxfId="108" priority="4474"/>
  </conditionalFormatting>
  <conditionalFormatting sqref="B31:B1048576 B1:B3">
    <cfRule type="duplicateValues" dxfId="107" priority="2"/>
  </conditionalFormatting>
  <conditionalFormatting sqref="B65:B1048576 B1:B3 B31:B33">
    <cfRule type="duplicateValues" dxfId="106" priority="3"/>
    <cfRule type="duplicateValues" dxfId="105" priority="4"/>
  </conditionalFormatting>
  <conditionalFormatting sqref="B70:B1048576 B1:B3 B31:B33">
    <cfRule type="duplicateValues" dxfId="104" priority="6"/>
  </conditionalFormatting>
  <conditionalFormatting sqref="B70:B1048576">
    <cfRule type="duplicateValues" dxfId="103" priority="5"/>
  </conditionalFormatting>
  <conditionalFormatting sqref="B72:B1048576 B1:B3 B31:B33">
    <cfRule type="duplicateValues" dxfId="102" priority="7"/>
    <cfRule type="duplicateValues" dxfId="101" priority="8"/>
  </conditionalFormatting>
  <conditionalFormatting sqref="B74:B1048576 B1:B3 B31:B33">
    <cfRule type="duplicateValues" dxfId="100" priority="9"/>
  </conditionalFormatting>
  <conditionalFormatting sqref="B78:B1048576 B3 B31:B33">
    <cfRule type="duplicateValues" dxfId="99" priority="4455"/>
  </conditionalFormatting>
  <conditionalFormatting sqref="B78:B1048576 B31:B33 B3">
    <cfRule type="duplicateValues" dxfId="98" priority="4459"/>
  </conditionalFormatting>
  <conditionalFormatting sqref="B78:B1048576 B31:B33">
    <cfRule type="duplicateValues" dxfId="97" priority="4463"/>
  </conditionalFormatting>
  <conditionalFormatting sqref="B78:B1048576 B33">
    <cfRule type="duplicateValues" dxfId="96" priority="4173"/>
  </conditionalFormatting>
  <conditionalFormatting sqref="B78:B1048576">
    <cfRule type="duplicateValues" dxfId="95" priority="4171"/>
    <cfRule type="duplicateValues" dxfId="94" priority="4452"/>
  </conditionalFormatting>
  <conditionalFormatting sqref="C31">
    <cfRule type="duplicateValues" dxfId="93" priority="4469"/>
  </conditionalFormatting>
  <pageMargins left="0.25" right="0.25" top="0.49803149600000002" bottom="0.24803149599999999" header="0.31496063000000002" footer="0"/>
  <pageSetup scale="66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7712-FC3D-4989-A90D-C6A18E835D5C}">
  <dimension ref="A1:H6"/>
  <sheetViews>
    <sheetView view="pageBreakPreview" zoomScale="112" zoomScaleNormal="98" workbookViewId="0">
      <selection activeCell="F5" sqref="F5"/>
    </sheetView>
  </sheetViews>
  <sheetFormatPr defaultColWidth="17.44140625" defaultRowHeight="18.75" customHeight="1" x14ac:dyDescent="0.3"/>
  <cols>
    <col min="1" max="1" width="7" customWidth="1"/>
    <col min="3" max="3" width="13.21875" customWidth="1"/>
    <col min="4" max="4" width="14.77734375" customWidth="1"/>
    <col min="5" max="5" width="14" customWidth="1"/>
    <col min="7" max="7" width="17.33203125" customWidth="1"/>
    <col min="8" max="8" width="10" customWidth="1"/>
  </cols>
  <sheetData>
    <row r="1" spans="1:8" ht="30" customHeight="1" thickTop="1" thickBot="1" x14ac:dyDescent="0.35">
      <c r="A1" s="342" t="s">
        <v>74</v>
      </c>
      <c r="B1" s="342"/>
      <c r="C1" s="342"/>
      <c r="D1" s="342"/>
      <c r="E1" s="342"/>
      <c r="F1" s="343"/>
      <c r="G1" s="343"/>
      <c r="H1" s="72"/>
    </row>
    <row r="2" spans="1:8" ht="11.25" customHeight="1" thickTop="1" thickBot="1" x14ac:dyDescent="0.35">
      <c r="A2" s="73"/>
      <c r="B2" s="73"/>
      <c r="C2" s="73"/>
      <c r="D2" s="73"/>
      <c r="E2" s="73"/>
      <c r="F2" s="144"/>
      <c r="G2" s="80"/>
      <c r="H2" s="72"/>
    </row>
    <row r="3" spans="1:8" ht="18.75" customHeight="1" thickTop="1" thickBot="1" x14ac:dyDescent="0.35">
      <c r="A3" s="46" t="s">
        <v>5</v>
      </c>
      <c r="B3" s="46" t="s">
        <v>6</v>
      </c>
      <c r="C3" s="46" t="s">
        <v>0</v>
      </c>
      <c r="D3" s="46" t="s">
        <v>3</v>
      </c>
      <c r="E3" s="46" t="s">
        <v>1</v>
      </c>
      <c r="F3" s="81" t="s">
        <v>39</v>
      </c>
      <c r="G3" s="145" t="s">
        <v>179</v>
      </c>
      <c r="H3" s="72"/>
    </row>
    <row r="4" spans="1:8" ht="18.75" customHeight="1" thickTop="1" thickBot="1" x14ac:dyDescent="0.35">
      <c r="A4" s="30">
        <v>1</v>
      </c>
      <c r="B4" s="30" t="s">
        <v>63</v>
      </c>
      <c r="C4" s="42">
        <v>792</v>
      </c>
      <c r="D4" s="42">
        <v>290</v>
      </c>
      <c r="E4" s="42">
        <v>0</v>
      </c>
      <c r="F4" s="262">
        <v>27255000</v>
      </c>
      <c r="G4" s="43">
        <v>13627500</v>
      </c>
      <c r="H4" s="263" t="s">
        <v>413</v>
      </c>
    </row>
    <row r="5" spans="1:8" ht="18.75" customHeight="1" thickTop="1" thickBot="1" x14ac:dyDescent="0.4">
      <c r="A5" s="42"/>
      <c r="B5" s="68"/>
      <c r="C5" s="42"/>
      <c r="D5" s="42"/>
      <c r="E5" s="42"/>
      <c r="F5" s="69"/>
      <c r="G5" s="43"/>
      <c r="H5" s="113"/>
    </row>
    <row r="6" spans="1:8" ht="18.75" customHeight="1" thickTop="1" x14ac:dyDescent="0.3"/>
  </sheetData>
  <mergeCells count="1">
    <mergeCell ref="A1:G1"/>
  </mergeCells>
  <conditionalFormatting sqref="A4:A5">
    <cfRule type="duplicateValues" dxfId="92" priority="8027"/>
  </conditionalFormatting>
  <conditionalFormatting sqref="B5">
    <cfRule type="duplicateValues" dxfId="91" priority="1"/>
  </conditionalFormatting>
  <printOptions horizontalCentered="1"/>
  <pageMargins left="0" right="0" top="0.83" bottom="0" header="0" footer="0"/>
  <pageSetup scale="9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065B-23A9-49E1-8642-E46FAE00CD13}">
  <dimension ref="A1:F7"/>
  <sheetViews>
    <sheetView view="pageBreakPreview" zoomScale="125" zoomScaleNormal="98" workbookViewId="0">
      <selection activeCell="E6" sqref="E6"/>
    </sheetView>
  </sheetViews>
  <sheetFormatPr defaultColWidth="17.44140625" defaultRowHeight="18.75" customHeight="1" x14ac:dyDescent="0.3"/>
  <cols>
    <col min="1" max="1" width="7" customWidth="1"/>
    <col min="3" max="3" width="13.21875" customWidth="1"/>
    <col min="4" max="4" width="14.77734375" customWidth="1"/>
    <col min="5" max="5" width="20.33203125" customWidth="1"/>
  </cols>
  <sheetData>
    <row r="1" spans="1:6" ht="30" customHeight="1" thickBot="1" x14ac:dyDescent="0.35">
      <c r="A1" s="344" t="s">
        <v>443</v>
      </c>
      <c r="B1" s="345"/>
      <c r="C1" s="345"/>
      <c r="D1" s="345"/>
      <c r="E1" s="345"/>
      <c r="F1" s="346"/>
    </row>
    <row r="2" spans="1:6" ht="11.25" customHeight="1" thickBot="1" x14ac:dyDescent="0.35">
      <c r="A2" s="275"/>
      <c r="B2" s="275"/>
      <c r="C2" s="275"/>
      <c r="D2" s="275"/>
      <c r="E2" s="275"/>
      <c r="F2" s="275"/>
    </row>
    <row r="3" spans="1:6" ht="18.75" customHeight="1" thickBot="1" x14ac:dyDescent="0.35">
      <c r="A3" s="276" t="s">
        <v>5</v>
      </c>
      <c r="B3" s="277" t="s">
        <v>6</v>
      </c>
      <c r="C3" s="277" t="s">
        <v>0</v>
      </c>
      <c r="D3" s="277" t="s">
        <v>3</v>
      </c>
      <c r="E3" s="277" t="s">
        <v>39</v>
      </c>
      <c r="F3" s="277" t="s">
        <v>444</v>
      </c>
    </row>
    <row r="4" spans="1:6" ht="18.75" customHeight="1" thickBot="1" x14ac:dyDescent="0.35">
      <c r="A4" s="278">
        <v>1</v>
      </c>
      <c r="B4" s="284" t="s">
        <v>445</v>
      </c>
      <c r="C4" s="279">
        <v>955.04</v>
      </c>
      <c r="D4" s="279">
        <v>433.54</v>
      </c>
      <c r="E4" s="280">
        <v>56000000</v>
      </c>
      <c r="F4" s="280">
        <v>8400000</v>
      </c>
    </row>
    <row r="5" spans="1:6" ht="18.75" customHeight="1" thickTop="1" thickBot="1" x14ac:dyDescent="0.35">
      <c r="A5" s="42"/>
      <c r="B5" s="282">
        <v>0</v>
      </c>
      <c r="C5" s="281"/>
      <c r="D5" s="42"/>
      <c r="E5" s="69">
        <v>0</v>
      </c>
      <c r="F5" s="42"/>
    </row>
    <row r="6" spans="1:6" ht="18.75" customHeight="1" thickTop="1" x14ac:dyDescent="0.3"/>
    <row r="7" spans="1:6" ht="18.75" customHeight="1" x14ac:dyDescent="0.3">
      <c r="E7" s="251"/>
    </row>
  </sheetData>
  <mergeCells count="1">
    <mergeCell ref="A1:F1"/>
  </mergeCells>
  <conditionalFormatting sqref="A5">
    <cfRule type="duplicateValues" dxfId="90" priority="2"/>
  </conditionalFormatting>
  <printOptions horizontalCentered="1"/>
  <pageMargins left="0" right="0" top="0.83" bottom="0" header="0" footer="0"/>
  <pageSetup scale="11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2278-3A3A-4182-A273-E3520BD6639A}">
  <sheetPr>
    <pageSetUpPr fitToPage="1"/>
  </sheetPr>
  <dimension ref="A1:J21"/>
  <sheetViews>
    <sheetView view="pageBreakPreview" zoomScale="97" zoomScaleNormal="85" zoomScaleSheetLayoutView="118" workbookViewId="0">
      <selection activeCell="B7" sqref="B7"/>
    </sheetView>
  </sheetViews>
  <sheetFormatPr defaultColWidth="9.109375" defaultRowHeight="21" customHeight="1" x14ac:dyDescent="0.3"/>
  <cols>
    <col min="1" max="1" width="4" style="21" customWidth="1"/>
    <col min="2" max="2" width="18" style="21" customWidth="1"/>
    <col min="3" max="3" width="23.109375" style="21" bestFit="1" customWidth="1"/>
    <col min="4" max="4" width="14.77734375" style="21" customWidth="1"/>
    <col min="5" max="5" width="16.33203125" style="21" customWidth="1"/>
    <col min="6" max="6" width="19" style="21" customWidth="1"/>
    <col min="7" max="7" width="12.77734375" style="21" customWidth="1"/>
    <col min="8" max="8" width="18.88671875" style="21" customWidth="1"/>
    <col min="9" max="9" width="16" style="21" customWidth="1"/>
    <col min="10" max="10" width="3" style="21" customWidth="1"/>
    <col min="11" max="16384" width="9.109375" style="21"/>
  </cols>
  <sheetData>
    <row r="1" spans="1:10" ht="21" customHeight="1" thickTop="1" thickBot="1" x14ac:dyDescent="0.35">
      <c r="A1" s="347" t="s">
        <v>69</v>
      </c>
      <c r="B1" s="347"/>
      <c r="C1" s="347"/>
      <c r="D1" s="347"/>
      <c r="E1" s="347"/>
      <c r="F1" s="347"/>
      <c r="G1" s="347"/>
      <c r="H1" s="347"/>
      <c r="I1" s="347"/>
    </row>
    <row r="2" spans="1:10" ht="16.95" customHeight="1" thickTop="1" thickBot="1" x14ac:dyDescent="0.35">
      <c r="A2" s="347"/>
      <c r="B2" s="347"/>
      <c r="C2" s="347"/>
      <c r="D2" s="347"/>
      <c r="E2" s="347"/>
      <c r="F2" s="347"/>
      <c r="G2" s="347"/>
      <c r="H2" s="347"/>
      <c r="I2" s="347"/>
    </row>
    <row r="3" spans="1:10" ht="12.6" customHeight="1" thickTop="1" thickBot="1" x14ac:dyDescent="0.35">
      <c r="A3" s="347"/>
      <c r="B3" s="347"/>
      <c r="C3" s="347"/>
      <c r="D3" s="347"/>
      <c r="E3" s="347"/>
      <c r="F3" s="347"/>
      <c r="G3" s="347"/>
      <c r="H3" s="347"/>
      <c r="I3" s="347"/>
    </row>
    <row r="4" spans="1:10" ht="21" customHeight="1" thickTop="1" thickBot="1" x14ac:dyDescent="0.35">
      <c r="A4" s="348"/>
      <c r="B4" s="349"/>
      <c r="C4" s="349"/>
      <c r="D4" s="349"/>
      <c r="E4" s="349"/>
      <c r="F4" s="349"/>
      <c r="G4" s="349"/>
      <c r="H4" s="349"/>
      <c r="I4" s="350"/>
    </row>
    <row r="5" spans="1:10" ht="26.4" customHeight="1" thickTop="1" thickBot="1" x14ac:dyDescent="0.35">
      <c r="A5" s="60" t="s">
        <v>5</v>
      </c>
      <c r="B5" s="60" t="s">
        <v>71</v>
      </c>
      <c r="C5" s="60" t="s">
        <v>7</v>
      </c>
      <c r="D5" s="60" t="s">
        <v>0</v>
      </c>
      <c r="E5" s="60" t="s">
        <v>9</v>
      </c>
      <c r="F5" s="60" t="s">
        <v>18</v>
      </c>
      <c r="G5" s="60" t="s">
        <v>4</v>
      </c>
      <c r="H5" s="60" t="s">
        <v>10</v>
      </c>
      <c r="I5" s="85">
        <v>0.1</v>
      </c>
    </row>
    <row r="6" spans="1:10" s="77" customFormat="1" ht="26.4" customHeight="1" thickTop="1" thickBot="1" x14ac:dyDescent="0.35">
      <c r="A6" s="78">
        <v>1</v>
      </c>
      <c r="B6" s="78" t="s">
        <v>476</v>
      </c>
      <c r="C6" s="78" t="s">
        <v>477</v>
      </c>
      <c r="D6" s="78">
        <v>640.5</v>
      </c>
      <c r="E6" s="78">
        <v>230</v>
      </c>
      <c r="F6" s="78">
        <v>190</v>
      </c>
      <c r="G6" s="78">
        <v>0</v>
      </c>
      <c r="H6" s="79">
        <v>50000000</v>
      </c>
      <c r="I6" s="79">
        <v>5000000</v>
      </c>
      <c r="J6" s="140"/>
    </row>
    <row r="7" spans="1:10" ht="25.95" customHeight="1" thickTop="1" thickBot="1" x14ac:dyDescent="0.35">
      <c r="A7" s="14"/>
      <c r="B7" s="76"/>
      <c r="C7" s="14"/>
      <c r="D7" s="14"/>
      <c r="E7" s="14"/>
      <c r="F7" s="14"/>
      <c r="G7" s="14"/>
      <c r="H7" s="141"/>
      <c r="I7" s="36"/>
    </row>
    <row r="8" spans="1:10" ht="21" customHeight="1" thickTop="1" x14ac:dyDescent="0.3"/>
    <row r="9" spans="1:10" ht="21" customHeight="1" x14ac:dyDescent="0.25">
      <c r="B9" s="130"/>
      <c r="C9" s="130"/>
    </row>
    <row r="10" spans="1:10" ht="21" customHeight="1" x14ac:dyDescent="0.3">
      <c r="B10" s="132"/>
      <c r="C10" s="129"/>
    </row>
    <row r="11" spans="1:10" ht="21" customHeight="1" x14ac:dyDescent="0.3">
      <c r="B11" s="129"/>
      <c r="C11" s="131"/>
    </row>
    <row r="12" spans="1:10" ht="21" customHeight="1" x14ac:dyDescent="0.3">
      <c r="B12" s="129"/>
    </row>
    <row r="13" spans="1:10" ht="21" customHeight="1" x14ac:dyDescent="0.3">
      <c r="B13" s="132"/>
      <c r="C13" s="129"/>
    </row>
    <row r="14" spans="1:10" ht="21" customHeight="1" x14ac:dyDescent="0.3">
      <c r="B14" s="129"/>
      <c r="C14" s="129"/>
    </row>
    <row r="15" spans="1:10" ht="21" customHeight="1" x14ac:dyDescent="0.3">
      <c r="B15" s="133"/>
      <c r="C15" s="129"/>
    </row>
    <row r="16" spans="1:10" ht="21" customHeight="1" x14ac:dyDescent="0.3">
      <c r="B16" s="129"/>
      <c r="C16" s="132"/>
    </row>
    <row r="17" spans="2:3" ht="21" customHeight="1" x14ac:dyDescent="0.3">
      <c r="B17" s="129"/>
      <c r="C17" s="129"/>
    </row>
    <row r="18" spans="2:3" ht="21" customHeight="1" x14ac:dyDescent="0.3">
      <c r="B18" s="129"/>
      <c r="C18" s="133"/>
    </row>
    <row r="19" spans="2:3" ht="21" customHeight="1" x14ac:dyDescent="0.3">
      <c r="B19" s="133"/>
      <c r="C19" s="129"/>
    </row>
    <row r="20" spans="2:3" ht="21" customHeight="1" x14ac:dyDescent="0.3">
      <c r="B20" s="129"/>
      <c r="C20" s="129"/>
    </row>
    <row r="21" spans="2:3" ht="21" customHeight="1" x14ac:dyDescent="0.3">
      <c r="B21" s="129"/>
    </row>
  </sheetData>
  <mergeCells count="2">
    <mergeCell ref="A1:I3"/>
    <mergeCell ref="A4:I4"/>
  </mergeCells>
  <conditionalFormatting sqref="A7">
    <cfRule type="duplicateValues" dxfId="89" priority="17"/>
    <cfRule type="duplicateValues" dxfId="88" priority="4443"/>
  </conditionalFormatting>
  <conditionalFormatting sqref="A8:A1048576">
    <cfRule type="duplicateValues" dxfId="87" priority="34"/>
  </conditionalFormatting>
  <conditionalFormatting sqref="B1:B1048576">
    <cfRule type="duplicateValues" dxfId="86" priority="1"/>
  </conditionalFormatting>
  <conditionalFormatting sqref="B7">
    <cfRule type="duplicateValues" dxfId="85" priority="14"/>
    <cfRule type="duplicateValues" dxfId="84" priority="15"/>
  </conditionalFormatting>
  <conditionalFormatting sqref="B8 B1:B3 B5:B6 B22:B1048576">
    <cfRule type="duplicateValues" dxfId="83" priority="18"/>
  </conditionalFormatting>
  <conditionalFormatting sqref="B8 B22:B1048576">
    <cfRule type="duplicateValues" dxfId="82" priority="4218"/>
  </conditionalFormatting>
  <conditionalFormatting sqref="B18:B1048576 B1:B8">
    <cfRule type="duplicateValues" dxfId="81" priority="2"/>
  </conditionalFormatting>
  <conditionalFormatting sqref="B19:B1048576 B1:B8">
    <cfRule type="duplicateValues" dxfId="80" priority="3"/>
    <cfRule type="duplicateValues" dxfId="79" priority="4"/>
  </conditionalFormatting>
  <conditionalFormatting sqref="B22:B1048576 B1:B3 B5:B8">
    <cfRule type="duplicateValues" dxfId="78" priority="10"/>
    <cfRule type="duplicateValues" dxfId="77" priority="11"/>
  </conditionalFormatting>
  <conditionalFormatting sqref="B22:B1048576 B1:B8 C13:C20 C9:C11">
    <cfRule type="duplicateValues" dxfId="76" priority="7"/>
  </conditionalFormatting>
  <conditionalFormatting sqref="B22:B1048576 B1:B8">
    <cfRule type="duplicateValues" dxfId="75" priority="6"/>
    <cfRule type="duplicateValues" dxfId="74" priority="8"/>
  </conditionalFormatting>
  <conditionalFormatting sqref="B22:B1048576">
    <cfRule type="duplicateValues" dxfId="73" priority="5"/>
  </conditionalFormatting>
  <conditionalFormatting sqref="H7">
    <cfRule type="duplicateValues" dxfId="72" priority="12"/>
    <cfRule type="duplicateValues" dxfId="71" priority="13"/>
  </conditionalFormatting>
  <pageMargins left="0.45" right="0.45" top="0.75" bottom="0.75" header="0.3" footer="0.3"/>
  <pageSetup scale="69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D2FB-206E-41C5-BD88-79FC523C5DDB}">
  <sheetPr>
    <pageSetUpPr fitToPage="1"/>
  </sheetPr>
  <dimension ref="A1:P8"/>
  <sheetViews>
    <sheetView workbookViewId="0">
      <selection activeCell="E13" sqref="E13"/>
    </sheetView>
  </sheetViews>
  <sheetFormatPr defaultColWidth="9.109375" defaultRowHeight="14.4" x14ac:dyDescent="0.3"/>
  <cols>
    <col min="1" max="1" width="6.5546875" style="1" bestFit="1" customWidth="1"/>
    <col min="2" max="2" width="14.44140625" style="1" bestFit="1" customWidth="1"/>
    <col min="3" max="3" width="10.109375" style="1" bestFit="1" customWidth="1"/>
    <col min="4" max="4" width="20.5546875" style="1" bestFit="1" customWidth="1"/>
    <col min="5" max="5" width="16.6640625" style="1" bestFit="1" customWidth="1"/>
    <col min="6" max="6" width="14.5546875" style="1" bestFit="1" customWidth="1"/>
    <col min="7" max="7" width="14.88671875" style="1" bestFit="1" customWidth="1"/>
    <col min="8" max="16384" width="9.109375" style="1"/>
  </cols>
  <sheetData>
    <row r="1" spans="1:16" ht="31.5" customHeight="1" thickTop="1" thickBot="1" x14ac:dyDescent="0.35">
      <c r="A1" s="351" t="s">
        <v>36</v>
      </c>
      <c r="B1" s="351"/>
      <c r="C1" s="351"/>
      <c r="D1" s="351"/>
      <c r="E1" s="351"/>
      <c r="F1" s="351"/>
      <c r="G1" s="351"/>
    </row>
    <row r="2" spans="1:16" s="9" customFormat="1" ht="18.75" customHeight="1" thickTop="1" x14ac:dyDescent="0.3">
      <c r="A2" s="21"/>
      <c r="B2" s="21"/>
      <c r="C2" s="21"/>
      <c r="D2" s="21"/>
      <c r="E2" s="21"/>
      <c r="F2" s="21"/>
      <c r="G2" s="2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ht="5.25" customHeight="1" thickBot="1" x14ac:dyDescent="0.35">
      <c r="A3" s="10"/>
      <c r="B3" s="10"/>
      <c r="C3" s="10"/>
      <c r="D3" s="10"/>
      <c r="E3" s="10"/>
      <c r="F3" s="10"/>
      <c r="G3" s="10"/>
      <c r="H3" s="1"/>
      <c r="I3" s="1"/>
      <c r="J3" s="1"/>
      <c r="K3" s="1"/>
      <c r="L3" s="1"/>
      <c r="M3" s="1"/>
      <c r="N3" s="1"/>
      <c r="O3" s="1"/>
      <c r="P3" s="1"/>
    </row>
    <row r="4" spans="1:16" ht="28.5" customHeight="1" thickTop="1" thickBot="1" x14ac:dyDescent="0.35">
      <c r="A4" s="41" t="s">
        <v>5</v>
      </c>
      <c r="B4" s="41" t="s">
        <v>6</v>
      </c>
      <c r="C4" s="41" t="s">
        <v>17</v>
      </c>
      <c r="D4" s="41" t="s">
        <v>37</v>
      </c>
      <c r="E4" s="41" t="s">
        <v>4</v>
      </c>
      <c r="F4" s="41" t="s">
        <v>38</v>
      </c>
      <c r="G4" s="41" t="s">
        <v>39</v>
      </c>
    </row>
    <row r="5" spans="1:16" ht="19.5" customHeight="1" thickTop="1" thickBot="1" x14ac:dyDescent="0.35">
      <c r="A5" s="11">
        <v>1</v>
      </c>
      <c r="B5" s="11" t="s">
        <v>40</v>
      </c>
      <c r="C5" s="11" t="s">
        <v>29</v>
      </c>
      <c r="D5" s="11">
        <v>3</v>
      </c>
      <c r="E5" s="11" t="s">
        <v>2</v>
      </c>
      <c r="F5" s="11">
        <v>146</v>
      </c>
      <c r="G5" s="12">
        <v>12250000</v>
      </c>
    </row>
    <row r="6" spans="1:16" ht="15.6" thickTop="1" thickBot="1" x14ac:dyDescent="0.35">
      <c r="A6" s="11"/>
      <c r="B6" s="11">
        <v>1</v>
      </c>
      <c r="C6" s="11"/>
      <c r="D6" s="11"/>
      <c r="E6" s="11"/>
      <c r="F6" s="11"/>
      <c r="G6" s="12">
        <f>SUBTOTAL(109,Table11[Total Price])</f>
        <v>12250000</v>
      </c>
    </row>
    <row r="7" spans="1:16" ht="15" thickTop="1" x14ac:dyDescent="0.3"/>
    <row r="8" spans="1:16" x14ac:dyDescent="0.3">
      <c r="K8" s="9"/>
    </row>
  </sheetData>
  <mergeCells count="1">
    <mergeCell ref="A1:G1"/>
  </mergeCells>
  <pageMargins left="0.7" right="0.7" top="0.75" bottom="0.75" header="0.3" footer="0.3"/>
  <pageSetup scale="92" fitToHeight="0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A014-173C-4F19-9922-D7313835BC74}">
  <dimension ref="A1:F10"/>
  <sheetViews>
    <sheetView zoomScaleNormal="100" zoomScaleSheetLayoutView="117" workbookViewId="0">
      <selection activeCell="E13" sqref="E13"/>
    </sheetView>
  </sheetViews>
  <sheetFormatPr defaultColWidth="9.109375" defaultRowHeight="16.5" customHeight="1" x14ac:dyDescent="0.3"/>
  <cols>
    <col min="1" max="1" width="8.6640625" style="1" bestFit="1" customWidth="1"/>
    <col min="2" max="2" width="13.88671875" style="1" bestFit="1" customWidth="1"/>
    <col min="3" max="3" width="15.5546875" style="1" bestFit="1" customWidth="1"/>
    <col min="4" max="4" width="17.33203125" style="1" bestFit="1" customWidth="1"/>
    <col min="5" max="5" width="14.33203125" style="1" bestFit="1" customWidth="1"/>
    <col min="6" max="6" width="19.33203125" style="1" bestFit="1" customWidth="1"/>
    <col min="7" max="16384" width="9.109375" style="1"/>
  </cols>
  <sheetData>
    <row r="1" spans="1:6" ht="26.4" customHeight="1" thickTop="1" thickBot="1" x14ac:dyDescent="0.35">
      <c r="A1" s="304" t="s">
        <v>28</v>
      </c>
      <c r="B1" s="304"/>
      <c r="C1" s="304"/>
      <c r="D1" s="304"/>
      <c r="E1" s="304"/>
      <c r="F1" s="304"/>
    </row>
    <row r="2" spans="1:6" ht="6" customHeight="1" thickTop="1" x14ac:dyDescent="0.3">
      <c r="A2" s="21"/>
      <c r="B2" s="21"/>
      <c r="C2" s="21"/>
      <c r="D2" s="21"/>
      <c r="E2" s="21"/>
      <c r="F2" s="21"/>
    </row>
    <row r="3" spans="1:6" ht="5.4" customHeight="1" x14ac:dyDescent="0.3">
      <c r="A3" s="21"/>
      <c r="B3" s="21"/>
      <c r="C3" s="21"/>
      <c r="D3" s="21"/>
      <c r="E3" s="21"/>
      <c r="F3" s="21"/>
    </row>
    <row r="4" spans="1:6" ht="20.399999999999999" customHeight="1" thickBot="1" x14ac:dyDescent="0.35">
      <c r="A4" s="37" t="s">
        <v>5</v>
      </c>
      <c r="B4" s="38" t="s">
        <v>6</v>
      </c>
      <c r="C4" s="38" t="s">
        <v>0</v>
      </c>
      <c r="D4" s="38" t="s">
        <v>3</v>
      </c>
      <c r="E4" s="38" t="s">
        <v>1</v>
      </c>
      <c r="F4" s="39" t="s">
        <v>39</v>
      </c>
    </row>
    <row r="5" spans="1:6" ht="20.399999999999999" customHeight="1" thickTop="1" thickBot="1" x14ac:dyDescent="0.35">
      <c r="A5" s="23">
        <v>1</v>
      </c>
      <c r="B5" s="13" t="s">
        <v>33</v>
      </c>
      <c r="C5" s="27" t="s">
        <v>60</v>
      </c>
      <c r="D5" s="13">
        <v>104</v>
      </c>
      <c r="E5" s="27">
        <v>80</v>
      </c>
      <c r="F5" s="24">
        <v>4680000</v>
      </c>
    </row>
    <row r="6" spans="1:6" ht="20.399999999999999" customHeight="1" thickTop="1" thickBot="1" x14ac:dyDescent="0.35">
      <c r="A6" s="28">
        <v>2</v>
      </c>
      <c r="B6" s="14" t="s">
        <v>61</v>
      </c>
      <c r="C6" s="29">
        <v>155</v>
      </c>
      <c r="D6" s="30">
        <v>168</v>
      </c>
      <c r="E6" s="29" t="s">
        <v>62</v>
      </c>
      <c r="F6" s="31">
        <v>9111274</v>
      </c>
    </row>
    <row r="7" spans="1:6" ht="20.399999999999999" customHeight="1" thickTop="1" thickBot="1" x14ac:dyDescent="0.35">
      <c r="A7" s="23">
        <v>3</v>
      </c>
      <c r="B7" s="13" t="s">
        <v>34</v>
      </c>
      <c r="C7" s="27">
        <v>459</v>
      </c>
      <c r="D7" s="13">
        <v>260</v>
      </c>
      <c r="E7" s="27" t="s">
        <v>62</v>
      </c>
      <c r="F7" s="24">
        <v>13660922</v>
      </c>
    </row>
    <row r="8" spans="1:6" ht="20.399999999999999" customHeight="1" thickTop="1" thickBot="1" x14ac:dyDescent="0.35">
      <c r="A8" s="28">
        <v>4</v>
      </c>
      <c r="B8" s="14" t="s">
        <v>35</v>
      </c>
      <c r="C8" s="29">
        <v>455</v>
      </c>
      <c r="D8" s="30">
        <v>260</v>
      </c>
      <c r="E8" s="29" t="s">
        <v>62</v>
      </c>
      <c r="F8" s="31">
        <v>14300000</v>
      </c>
    </row>
    <row r="9" spans="1:6" ht="20.399999999999999" customHeight="1" thickTop="1" thickBot="1" x14ac:dyDescent="0.35">
      <c r="A9" s="22">
        <v>5</v>
      </c>
      <c r="B9" s="13" t="s">
        <v>63</v>
      </c>
      <c r="C9" s="27">
        <v>792</v>
      </c>
      <c r="D9" s="32">
        <v>290</v>
      </c>
      <c r="E9" s="27" t="s">
        <v>62</v>
      </c>
      <c r="F9" s="31">
        <v>23700000</v>
      </c>
    </row>
    <row r="10" spans="1:6" ht="16.5" customHeight="1" thickTop="1" x14ac:dyDescent="0.3">
      <c r="A10" s="25"/>
      <c r="B10" s="26">
        <f>SUBTOTAL(103,Table8[Unit Code])</f>
        <v>5</v>
      </c>
      <c r="C10" s="33"/>
      <c r="D10" s="18"/>
      <c r="E10" s="34"/>
      <c r="F10" s="20">
        <f>SUBTOTAL(109,Table8[Total Price])</f>
        <v>65452196</v>
      </c>
    </row>
  </sheetData>
  <mergeCells count="1">
    <mergeCell ref="A1:F1"/>
  </mergeCells>
  <pageMargins left="0.7" right="0.7" top="0.75" bottom="0.75" header="0.3" footer="0.3"/>
  <pageSetup orientation="portrait" r:id="rId1"/>
  <headerFooter>
    <oddHeader>&amp;R&amp;D</oddHead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1b0a4361-dbb7-4cd9-9df3-ff4e535cce1f}" enabled="0" method="" siteId="{1b0a4361-dbb7-4cd9-9df3-ff4e535cce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20</vt:i4>
      </vt:variant>
    </vt:vector>
  </HeadingPairs>
  <TitlesOfParts>
    <vt:vector size="46" baseType="lpstr">
      <vt:lpstr>Park Central</vt:lpstr>
      <vt:lpstr>SLN</vt:lpstr>
      <vt:lpstr>SEASONS</vt:lpstr>
      <vt:lpstr>The Giselle</vt:lpstr>
      <vt:lpstr>The Scarlet</vt:lpstr>
      <vt:lpstr>The Iris</vt:lpstr>
      <vt:lpstr>The Valleys</vt:lpstr>
      <vt:lpstr>SLG - ENCORE</vt:lpstr>
      <vt:lpstr>The Phoenix</vt:lpstr>
      <vt:lpstr>OFFICE PARK</vt:lpstr>
      <vt:lpstr>SLW-Boomerang</vt:lpstr>
      <vt:lpstr>SLW-Villas</vt:lpstr>
      <vt:lpstr>SLW-Monos</vt:lpstr>
      <vt:lpstr>SLW-Solos</vt:lpstr>
      <vt:lpstr>SLW-Twains</vt:lpstr>
      <vt:lpstr>SLW-Shimmers</vt:lpstr>
      <vt:lpstr>The Selina</vt:lpstr>
      <vt:lpstr>KEYS-52</vt:lpstr>
      <vt:lpstr>The AMAIA</vt:lpstr>
      <vt:lpstr>PARKVIEW</vt:lpstr>
      <vt:lpstr>Park 226</vt:lpstr>
      <vt:lpstr>LVG</vt:lpstr>
      <vt:lpstr>SLO</vt:lpstr>
      <vt:lpstr>SLNX</vt:lpstr>
      <vt:lpstr>SLG</vt:lpstr>
      <vt:lpstr>Little Venice</vt:lpstr>
      <vt:lpstr>'KEYS-52'!Print_Area</vt:lpstr>
      <vt:lpstr>LVG!Print_Area</vt:lpstr>
      <vt:lpstr>'OFFICE PARK'!Print_Area</vt:lpstr>
      <vt:lpstr>'Park 226'!Print_Area</vt:lpstr>
      <vt:lpstr>'Park Central'!Print_Area</vt:lpstr>
      <vt:lpstr>PARKVIEW!Print_Area</vt:lpstr>
      <vt:lpstr>SLG!Print_Area</vt:lpstr>
      <vt:lpstr>'SLG - ENCORE'!Print_Area</vt:lpstr>
      <vt:lpstr>SLN!Print_Area</vt:lpstr>
      <vt:lpstr>SLNX!Print_Area</vt:lpstr>
      <vt:lpstr>SLO!Print_Area</vt:lpstr>
      <vt:lpstr>'SLW-Shimmers'!Print_Area</vt:lpstr>
      <vt:lpstr>'SLW-Solos'!Print_Area</vt:lpstr>
      <vt:lpstr>'SLW-Twains'!Print_Area</vt:lpstr>
      <vt:lpstr>'SLW-Villas'!Print_Area</vt:lpstr>
      <vt:lpstr>'The AMAIA'!Print_Area</vt:lpstr>
      <vt:lpstr>'The Phoenix'!Print_Area</vt:lpstr>
      <vt:lpstr>'The Selina'!Print_Area</vt:lpstr>
      <vt:lpstr>'The Valleys'!Print_Area</vt:lpstr>
      <vt:lpstr>'Park 226'!Print_Titles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Assem</dc:creator>
  <cp:lastModifiedBy>Omar Mohsen</cp:lastModifiedBy>
  <cp:lastPrinted>2025-12-16T23:17:51Z</cp:lastPrinted>
  <dcterms:created xsi:type="dcterms:W3CDTF">2015-06-05T18:17:20Z</dcterms:created>
  <dcterms:modified xsi:type="dcterms:W3CDTF">2025-12-18T18:38:20Z</dcterms:modified>
</cp:coreProperties>
</file>