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haporg-my.sharepoint.com/personal/omohsen_hap_com_eg/Documents/Desktop/"/>
    </mc:Choice>
  </mc:AlternateContent>
  <xr:revisionPtr revIDLastSave="16" documentId="13_ncr:1_{A85F0A62-26F0-4485-93D1-94E058E79B1F}" xr6:coauthVersionLast="47" xr6:coauthVersionMax="47" xr10:uidLastSave="{1F18477D-2741-413F-AD76-C080B0A8B4ED}"/>
  <bookViews>
    <workbookView xWindow="-108" yWindow="-108" windowWidth="23256" windowHeight="12456" tabRatio="760" activeTab="8" xr2:uid="{00000000-000D-0000-FFFF-FFFF00000000}"/>
  </bookViews>
  <sheets>
    <sheet name="Park Central" sheetId="34" r:id="rId1"/>
    <sheet name="SLNX" sheetId="8" state="hidden" r:id="rId2"/>
    <sheet name="SLN" sheetId="25" state="hidden" r:id="rId3"/>
    <sheet name="SEASONS" sheetId="19" state="hidden" r:id="rId4"/>
    <sheet name="The Giselle" sheetId="15" state="hidden" r:id="rId5"/>
    <sheet name="The Scarlet" sheetId="9" state="hidden" r:id="rId6"/>
    <sheet name="The Iris" sheetId="30" state="hidden" r:id="rId7"/>
    <sheet name="The Valleys" sheetId="31" r:id="rId8"/>
    <sheet name="SLG - ENCORE" sheetId="36" r:id="rId9"/>
    <sheet name="The Phoenix" sheetId="4" r:id="rId10"/>
    <sheet name="OFFICE PARK" sheetId="18" r:id="rId11"/>
    <sheet name="SLW-Boomerang" sheetId="27" state="hidden" r:id="rId12"/>
    <sheet name="SLW-Villas" sheetId="21" r:id="rId13"/>
    <sheet name="SLW-Monos" sheetId="22" r:id="rId14"/>
    <sheet name="SLW-Solos" sheetId="38" r:id="rId15"/>
    <sheet name="SLW-Twains" sheetId="26" r:id="rId16"/>
    <sheet name="SLW-Shimmers" sheetId="37" r:id="rId17"/>
    <sheet name="The Selina" sheetId="6" r:id="rId18"/>
    <sheet name="KEYS-52" sheetId="32" state="hidden" r:id="rId19"/>
    <sheet name="The AMAIA" sheetId="20" state="hidden" r:id="rId20"/>
    <sheet name="PARKVIEW" sheetId="1" r:id="rId21"/>
    <sheet name="Park 226" sheetId="13" r:id="rId22"/>
    <sheet name="LVG" sheetId="24" r:id="rId23"/>
    <sheet name="SLO" sheetId="40" r:id="rId24"/>
    <sheet name="SLG" sheetId="14" state="hidden" r:id="rId25"/>
    <sheet name="Little Venice" sheetId="7" state="hidden" r:id="rId26"/>
  </sheets>
  <definedNames>
    <definedName name="_xlnm._FilterDatabase" localSheetId="21" hidden="1">'Park 226'!$A$3:$G$30</definedName>
    <definedName name="_xlnm._FilterDatabase" localSheetId="0" hidden="1">'Park Central'!$A$7:$L$36</definedName>
    <definedName name="_xlnm._FilterDatabase" localSheetId="20" hidden="1">PARKVIEW!#REF!</definedName>
    <definedName name="_xlnm._FilterDatabase" localSheetId="11" hidden="1">'SLW-Boomerang'!$A$1:$G$1</definedName>
    <definedName name="_xlnm._FilterDatabase" localSheetId="16" hidden="1">'SLW-Shimmers'!$A$1:$G$1</definedName>
    <definedName name="_xlnm._FilterDatabase" localSheetId="15" hidden="1">'SLW-Twains'!$A$1:$F$1</definedName>
    <definedName name="_xlnm._FilterDatabase" localSheetId="12" hidden="1">'SLW-Villas'!$A$3:$S$21</definedName>
    <definedName name="_xlnm.Print_Area" localSheetId="18">'KEYS-52'!$A$1:$J$6</definedName>
    <definedName name="_xlnm.Print_Area" localSheetId="22">LVG!$A$1:$H$4</definedName>
    <definedName name="_xlnm.Print_Area" localSheetId="10">'OFFICE PARK'!$A$1:$M$53</definedName>
    <definedName name="_xlnm.Print_Area" localSheetId="21">'Park 226'!$A$1:$J$30</definedName>
    <definedName name="_xlnm.Print_Area" localSheetId="0">'Park Central'!$A$1:$L$36</definedName>
    <definedName name="_xlnm.Print_Area" localSheetId="20">PARKVIEW!$A$1:$G$26</definedName>
    <definedName name="_xlnm.Print_Area" localSheetId="24">SLG!$A$1:$G$6</definedName>
    <definedName name="_xlnm.Print_Area" localSheetId="8">'SLG - ENCORE'!$A$1:$N$25</definedName>
    <definedName name="_xlnm.Print_Area" localSheetId="2">SLN!$A$1:$H$7</definedName>
    <definedName name="_xlnm.Print_Area" localSheetId="1">SLNX!$A$1:$I$7</definedName>
    <definedName name="_xlnm.Print_Area" localSheetId="23">SLO!$A$1:$F$4</definedName>
    <definedName name="_xlnm.Print_Area" localSheetId="16">'SLW-Shimmers'!$A$1:$J$27</definedName>
    <definedName name="_xlnm.Print_Area" localSheetId="14">'SLW-Solos'!$A$1:$J$4</definedName>
    <definedName name="_xlnm.Print_Area" localSheetId="15">'SLW-Twains'!$A$1:$J$12</definedName>
    <definedName name="_xlnm.Print_Area" localSheetId="12">'SLW-Villas'!$A$1:$M$21</definedName>
    <definedName name="_xlnm.Print_Area" localSheetId="19">'The AMAIA'!$A$1:$K$12</definedName>
    <definedName name="_xlnm.Print_Area" localSheetId="9">'The Phoenix'!$A$1:$J$56</definedName>
    <definedName name="_xlnm.Print_Area" localSheetId="17">'The Selina'!$A$1:$I$7</definedName>
    <definedName name="_xlnm.Print_Area" localSheetId="7">'The Valleys'!$A$1:$L$30</definedName>
    <definedName name="_xlnm.Print_Titles" localSheetId="21">'Park 226'!$3:$3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4" i="4" l="1"/>
  <c r="A51" i="18"/>
  <c r="A27" i="37"/>
  <c r="A29" i="31" l="1"/>
  <c r="A23" i="31"/>
  <c r="A24" i="31"/>
  <c r="A25" i="31"/>
  <c r="A26" i="31"/>
  <c r="A27" i="31"/>
  <c r="A28" i="31"/>
  <c r="A30" i="31"/>
  <c r="A24" i="37"/>
  <c r="A25" i="37"/>
  <c r="A26" i="37"/>
  <c r="A53" i="18" l="1"/>
  <c r="A48" i="18"/>
  <c r="A49" i="18"/>
  <c r="A50" i="18"/>
  <c r="A25" i="36"/>
  <c r="A47" i="18"/>
  <c r="A55" i="4"/>
  <c r="A6" i="31"/>
  <c r="A48" i="4"/>
  <c r="A49" i="4"/>
  <c r="A50" i="4"/>
  <c r="A51" i="4"/>
  <c r="A52" i="4"/>
  <c r="A53" i="4"/>
  <c r="A17" i="37"/>
  <c r="A18" i="37"/>
  <c r="A19" i="37"/>
  <c r="A20" i="37"/>
  <c r="A21" i="37"/>
  <c r="A22" i="37"/>
  <c r="A23" i="37"/>
  <c r="A35" i="34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52" i="18"/>
  <c r="A22" i="31"/>
  <c r="A17" i="31"/>
  <c r="A18" i="31"/>
  <c r="A19" i="31"/>
  <c r="A20" i="31"/>
  <c r="A21" i="31"/>
  <c r="A56" i="4"/>
  <c r="A36" i="34"/>
  <c r="A7" i="18"/>
  <c r="A34" i="34"/>
  <c r="A19" i="21"/>
  <c r="A20" i="21"/>
  <c r="A21" i="21"/>
  <c r="A47" i="4"/>
  <c r="A29" i="4"/>
  <c r="A5" i="21"/>
  <c r="A41" i="4" l="1"/>
  <c r="A22" i="34" l="1"/>
  <c r="A38" i="4"/>
  <c r="A27" i="4"/>
  <c r="A7" i="31"/>
  <c r="A10" i="26" l="1"/>
  <c r="A11" i="26"/>
  <c r="A12" i="26"/>
  <c r="A33" i="34"/>
  <c r="A32" i="34" l="1"/>
  <c r="A8" i="26"/>
  <c r="A9" i="26"/>
  <c r="A33" i="4"/>
  <c r="A16" i="31"/>
  <c r="A42" i="4"/>
  <c r="A43" i="4"/>
  <c r="A37" i="4"/>
  <c r="A39" i="4"/>
  <c r="A40" i="4"/>
  <c r="A44" i="4"/>
  <c r="A45" i="4"/>
  <c r="A46" i="4"/>
  <c r="A36" i="4"/>
  <c r="A8" i="36"/>
  <c r="A9" i="36"/>
  <c r="A10" i="36"/>
  <c r="A11" i="36"/>
  <c r="A12" i="36"/>
  <c r="A13" i="36"/>
  <c r="A14" i="36"/>
  <c r="A15" i="36"/>
  <c r="A16" i="36"/>
  <c r="A17" i="36"/>
  <c r="A18" i="36"/>
  <c r="A19" i="36"/>
  <c r="A20" i="36"/>
  <c r="A21" i="36"/>
  <c r="A22" i="36"/>
  <c r="A23" i="36"/>
  <c r="A24" i="36"/>
  <c r="A7" i="36"/>
  <c r="A29" i="34"/>
  <c r="A30" i="34"/>
  <c r="A31" i="34"/>
  <c r="G7" i="25"/>
  <c r="A29" i="13"/>
  <c r="A16" i="21"/>
  <c r="A17" i="21"/>
  <c r="A18" i="21"/>
  <c r="A4" i="38"/>
  <c r="A15" i="31"/>
  <c r="A16" i="37"/>
  <c r="A15" i="37"/>
  <c r="A14" i="37"/>
  <c r="A13" i="37"/>
  <c r="A12" i="37"/>
  <c r="A11" i="37"/>
  <c r="A10" i="37"/>
  <c r="A9" i="37"/>
  <c r="A8" i="37"/>
  <c r="A7" i="37"/>
  <c r="A6" i="37"/>
  <c r="A5" i="37"/>
  <c r="A4" i="37"/>
  <c r="A7" i="26"/>
  <c r="A6" i="26"/>
  <c r="A5" i="26"/>
  <c r="A4" i="26"/>
  <c r="A4" i="22"/>
  <c r="A12" i="31"/>
  <c r="A15" i="21"/>
  <c r="A10" i="20" l="1"/>
  <c r="A4" i="21"/>
  <c r="A13" i="21" l="1"/>
  <c r="A12" i="21"/>
  <c r="A8" i="31" l="1"/>
  <c r="A9" i="31"/>
  <c r="A10" i="31"/>
  <c r="A11" i="31"/>
  <c r="A13" i="31"/>
  <c r="A14" i="31"/>
  <c r="A14" i="21" l="1"/>
  <c r="A6" i="21" l="1"/>
  <c r="A7" i="20" l="1"/>
  <c r="A8" i="20"/>
  <c r="A9" i="20"/>
  <c r="A11" i="20"/>
  <c r="A12" i="4" l="1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10" i="4"/>
  <c r="A11" i="4"/>
  <c r="A28" i="4"/>
  <c r="A30" i="4"/>
  <c r="A31" i="4"/>
  <c r="A32" i="4"/>
  <c r="A34" i="4"/>
  <c r="A35" i="4"/>
  <c r="A7" i="21" l="1"/>
  <c r="A8" i="21"/>
  <c r="A9" i="21"/>
  <c r="A10" i="21"/>
  <c r="A11" i="21"/>
  <c r="A12" i="1" l="1"/>
  <c r="A6" i="20" l="1"/>
  <c r="A18" i="34"/>
  <c r="A8" i="34" l="1"/>
  <c r="A9" i="34"/>
  <c r="A10" i="34"/>
  <c r="A11" i="34"/>
  <c r="A12" i="34"/>
  <c r="A13" i="34"/>
  <c r="A14" i="34"/>
  <c r="A15" i="34"/>
  <c r="A16" i="34"/>
  <c r="A17" i="34"/>
  <c r="A19" i="34"/>
  <c r="A20" i="34"/>
  <c r="A21" i="34"/>
  <c r="A23" i="34"/>
  <c r="A24" i="34"/>
  <c r="A25" i="34"/>
  <c r="A26" i="34"/>
  <c r="A27" i="34"/>
  <c r="A28" i="34"/>
  <c r="A25" i="13" l="1"/>
  <c r="J5" i="32" l="1"/>
  <c r="H5" i="32"/>
  <c r="A5" i="32"/>
  <c r="A9" i="4" l="1"/>
  <c r="A4" i="13" l="1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6" i="13"/>
  <c r="A27" i="13"/>
  <c r="A28" i="13"/>
  <c r="A30" i="13"/>
  <c r="A4" i="20"/>
  <c r="A5" i="20"/>
  <c r="A5" i="4"/>
  <c r="A6" i="4"/>
  <c r="A7" i="4"/>
  <c r="A8" i="4"/>
  <c r="A5" i="1"/>
  <c r="A6" i="1"/>
  <c r="A7" i="1"/>
  <c r="A8" i="1"/>
  <c r="A9" i="1"/>
  <c r="A10" i="1"/>
  <c r="A11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4" i="1"/>
  <c r="H13" i="30" l="1"/>
  <c r="B13" i="30"/>
  <c r="G16" i="27" l="1"/>
  <c r="B16" i="27"/>
  <c r="B7" i="25" l="1"/>
  <c r="H7" i="9"/>
  <c r="B6" i="15"/>
  <c r="F10" i="7" l="1"/>
  <c r="B10" i="7"/>
  <c r="G6" i="14" l="1"/>
  <c r="G6" i="15" l="1"/>
  <c r="B7" i="9" l="1"/>
</calcChain>
</file>

<file path=xl/sharedStrings.xml><?xml version="1.0" encoding="utf-8"?>
<sst xmlns="http://schemas.openxmlformats.org/spreadsheetml/2006/main" count="1326" uniqueCount="517">
  <si>
    <t>Land Area</t>
  </si>
  <si>
    <t>Roof</t>
  </si>
  <si>
    <t>-</t>
  </si>
  <si>
    <t>BUA</t>
  </si>
  <si>
    <t>Garden Area</t>
  </si>
  <si>
    <t>#</t>
  </si>
  <si>
    <t>Unit Code</t>
  </si>
  <si>
    <t>Unit Type</t>
  </si>
  <si>
    <t>Design Type</t>
  </si>
  <si>
    <t>Design Area</t>
  </si>
  <si>
    <t>Total Unit Price</t>
  </si>
  <si>
    <t>UNIT CODE</t>
  </si>
  <si>
    <t>Project</t>
  </si>
  <si>
    <t>FLOOR</t>
  </si>
  <si>
    <t>GARDEN AREA</t>
  </si>
  <si>
    <t>UNIT PRICE</t>
  </si>
  <si>
    <t>Unit Name</t>
  </si>
  <si>
    <t>Floor</t>
  </si>
  <si>
    <t>Roof Terrace Area</t>
  </si>
  <si>
    <t>Total Garden Area</t>
  </si>
  <si>
    <t>No.</t>
  </si>
  <si>
    <t>Type</t>
  </si>
  <si>
    <t>Basement Area</t>
  </si>
  <si>
    <t>Unit</t>
  </si>
  <si>
    <t>HAPTOWN - PARKVIEW AVAILABLE UNITS</t>
  </si>
  <si>
    <t>SLR - PHOENIX AVAILABLE UNITS</t>
  </si>
  <si>
    <t>SLR - SELINA AVAILABLE UNITS</t>
  </si>
  <si>
    <t>SLR - SCARLET AVAILABLE UNITS</t>
  </si>
  <si>
    <t>LITTLE VENICE AVAILABLE UNITS</t>
  </si>
  <si>
    <t>Second</t>
  </si>
  <si>
    <t>Third</t>
  </si>
  <si>
    <t>Fourth</t>
  </si>
  <si>
    <t>Haptown - Park 226 AVAILABLE UNITS</t>
  </si>
  <si>
    <t>LVG-3-C-C-13</t>
  </si>
  <si>
    <t>LVG-3-V-B-168</t>
  </si>
  <si>
    <t>LVG-3-V-B-212</t>
  </si>
  <si>
    <t>SWANLAKE El GOUNA Available Units</t>
  </si>
  <si>
    <t>No. of Bedrooms</t>
  </si>
  <si>
    <t>Total Area</t>
  </si>
  <si>
    <t>Total Price</t>
  </si>
  <si>
    <t>SLG-03-A-24</t>
  </si>
  <si>
    <t>SLR - Giselle AVAILABLE UNITS</t>
  </si>
  <si>
    <t>PRICE</t>
  </si>
  <si>
    <t>BUILDING NUMBER</t>
  </si>
  <si>
    <t>NUMBER OF BEDS</t>
  </si>
  <si>
    <t>GROSS BUA</t>
  </si>
  <si>
    <t>Unit Price</t>
  </si>
  <si>
    <t>GROSS AREA</t>
  </si>
  <si>
    <t>OFFICE TERRACE</t>
  </si>
  <si>
    <t>NO. OF DEDICATED PARKING</t>
  </si>
  <si>
    <t>LAND</t>
  </si>
  <si>
    <t>ROOF TERRACE</t>
  </si>
  <si>
    <t>HT-SN-089-HS-A</t>
  </si>
  <si>
    <t>Townhouse</t>
  </si>
  <si>
    <t>SEASONS AVAILABLE UNITS</t>
  </si>
  <si>
    <t>SLR - Office Park AVAILABLE UNITS</t>
  </si>
  <si>
    <t>HT-PV-07-A2-45</t>
  </si>
  <si>
    <t>HT-PV-09-C1-34</t>
  </si>
  <si>
    <t>HT-PV-14-H1-55</t>
  </si>
  <si>
    <t>HT-PV-14-H1-64</t>
  </si>
  <si>
    <t> 0</t>
  </si>
  <si>
    <t>LVG-3-T-A-7</t>
  </si>
  <si>
    <t>0 </t>
  </si>
  <si>
    <t>LVG-3-V-C-29</t>
  </si>
  <si>
    <t>Open Roof Terrace</t>
  </si>
  <si>
    <t>UNIT TYPE</t>
  </si>
  <si>
    <t>SLR - AMAIA AVAILABLE UNITS</t>
  </si>
  <si>
    <t>OPEN ROOF TERRACE</t>
  </si>
  <si>
    <t>Total Unit Price (4 years)</t>
  </si>
  <si>
    <t>SWANLAKE NORTH AVAILABLE UNITS</t>
  </si>
  <si>
    <t>Land AREA</t>
  </si>
  <si>
    <t>UNIT_CODE</t>
  </si>
  <si>
    <t>Land</t>
  </si>
  <si>
    <t>Garden</t>
  </si>
  <si>
    <t xml:space="preserve">LV AVAILABLE UNITS </t>
  </si>
  <si>
    <t>SLW- Boomerang AVAILABLE UNITS</t>
  </si>
  <si>
    <t>5% DP</t>
  </si>
  <si>
    <t>HT-PV-01-A2-65</t>
  </si>
  <si>
    <t>Apartment - 3 Bedroom</t>
  </si>
  <si>
    <t>Apartment - 2 Bedroom</t>
  </si>
  <si>
    <t>HT-PV-02-B1-27</t>
  </si>
  <si>
    <t>HT-PV-02-B1-36</t>
  </si>
  <si>
    <t>HT-PV-04-A1-25</t>
  </si>
  <si>
    <t>HT-PV-04-A1-65</t>
  </si>
  <si>
    <t>HT-PV-06-A1-53</t>
  </si>
  <si>
    <t>HT-PV-08-A1-13</t>
  </si>
  <si>
    <t>HT-PV-15-M1-12</t>
  </si>
  <si>
    <t>HT-PV-15-M1-36</t>
  </si>
  <si>
    <t>HT-PV-15-M1-46</t>
  </si>
  <si>
    <t>HT-PV-15-M1-56</t>
  </si>
  <si>
    <t>HT-PV-15-M1-62</t>
  </si>
  <si>
    <t>HT-PV-15-M1-65</t>
  </si>
  <si>
    <t>HT-PV-15-M1-66</t>
  </si>
  <si>
    <t>HT-PV-15-M2-62</t>
  </si>
  <si>
    <t>HT-PV-18-L1-64</t>
  </si>
  <si>
    <t>HT-PV-12-C1-26</t>
  </si>
  <si>
    <t>SLW-2002-B1-12</t>
  </si>
  <si>
    <t>SWAN LAKE Residences - The IRIS Availability</t>
  </si>
  <si>
    <t>10% DP</t>
  </si>
  <si>
    <t xml:space="preserve">Total Unit Price </t>
  </si>
  <si>
    <t>10%</t>
  </si>
  <si>
    <t>SLW-8001-B1-01</t>
  </si>
  <si>
    <t>SLW-8001-B2-01</t>
  </si>
  <si>
    <t>SLW-8001-B2-02</t>
  </si>
  <si>
    <t>SLW-8001-B2-31</t>
  </si>
  <si>
    <t>SLW-3001-TW-A</t>
  </si>
  <si>
    <t>SLW-3001-TW-B</t>
  </si>
  <si>
    <t>SLW-3002-TW-A</t>
  </si>
  <si>
    <t>SLW-3002-TW-B</t>
  </si>
  <si>
    <t>SLW-8003-B1-02</t>
  </si>
  <si>
    <t>SLW-8003-B1-22</t>
  </si>
  <si>
    <t>SLW-8003-B2-21</t>
  </si>
  <si>
    <t>SLW-8003-B1-31</t>
  </si>
  <si>
    <t>SLW-8003-B2-11</t>
  </si>
  <si>
    <t>HT-PV-15-M1-64</t>
  </si>
  <si>
    <t>APARTMENT</t>
  </si>
  <si>
    <t>Two Bedrooms</t>
  </si>
  <si>
    <t>FIRST</t>
  </si>
  <si>
    <t>Three Bedrooms</t>
  </si>
  <si>
    <t>GROUND</t>
  </si>
  <si>
    <t>SLR-SL-155-SV-K</t>
  </si>
  <si>
    <t>Standalone Villa</t>
  </si>
  <si>
    <t>5% Reservation</t>
  </si>
  <si>
    <t>MONOS - Apartment 4 Bedrooms</t>
  </si>
  <si>
    <t>SLR-AM-304-B1-01</t>
  </si>
  <si>
    <t>304-B1</t>
  </si>
  <si>
    <t>SLR-PH-10-B14-01</t>
  </si>
  <si>
    <t>SLR-PH-10-B14-12</t>
  </si>
  <si>
    <t>SLR-PH-10-B14-24</t>
  </si>
  <si>
    <t>SLR-PH-10-B14-32</t>
  </si>
  <si>
    <t>SLR-PH-10-B14-34</t>
  </si>
  <si>
    <t>SLR-PH-10-B14-42</t>
  </si>
  <si>
    <t>SLR-PH-10-B14-44</t>
  </si>
  <si>
    <t>SLR-PH-10-B14-52</t>
  </si>
  <si>
    <t>SLR-PH-10-B14-54</t>
  </si>
  <si>
    <t>SECOND</t>
  </si>
  <si>
    <t>THIRD</t>
  </si>
  <si>
    <t>FOURTH</t>
  </si>
  <si>
    <t>FIFTH</t>
  </si>
  <si>
    <t>SLR-AM-304-B2-01</t>
  </si>
  <si>
    <t>304-B2</t>
  </si>
  <si>
    <t>304-B3</t>
  </si>
  <si>
    <t>THE VALLEYS AVAILABLE UNITS</t>
  </si>
  <si>
    <t>DESIGN</t>
  </si>
  <si>
    <t>LAND AREA</t>
  </si>
  <si>
    <t>Final Price</t>
  </si>
  <si>
    <t>SV-A</t>
  </si>
  <si>
    <t>TW-A</t>
  </si>
  <si>
    <t>Twin Villa B</t>
  </si>
  <si>
    <t>TW-B</t>
  </si>
  <si>
    <t>DP 5%</t>
  </si>
  <si>
    <t>HT-SE-20-Q2-01</t>
  </si>
  <si>
    <t>Ground</t>
  </si>
  <si>
    <t>3 Bedrooms</t>
  </si>
  <si>
    <t>HT-SE-20-Q2-03</t>
  </si>
  <si>
    <t>HT-SE-20-Q2-11</t>
  </si>
  <si>
    <t>First</t>
  </si>
  <si>
    <t>2 Bedrooms</t>
  </si>
  <si>
    <t>HT-SE-20-Q2-14</t>
  </si>
  <si>
    <t>HT-SE-20-Q2-23</t>
  </si>
  <si>
    <t>HT-SE-20-Q2-24</t>
  </si>
  <si>
    <t>HT-SE-20-Q2-33</t>
  </si>
  <si>
    <t>HT-SE-20-Q2-34</t>
  </si>
  <si>
    <t>HT-SE-20-Q2-43</t>
  </si>
  <si>
    <t>HT-SE-20-Q2-51</t>
  </si>
  <si>
    <t>Fifth</t>
  </si>
  <si>
    <t>HT-SE-20-Q2-52</t>
  </si>
  <si>
    <t>HT-SE-20-Q2-53</t>
  </si>
  <si>
    <t>HT-SE-20-Q2-54</t>
  </si>
  <si>
    <t>Penthouse</t>
  </si>
  <si>
    <t>Sixth</t>
  </si>
  <si>
    <t>HT-SE-20-Q2-62</t>
  </si>
  <si>
    <t>HT-SE-21-N1-01</t>
  </si>
  <si>
    <t>HT-SE-21-N1-03</t>
  </si>
  <si>
    <t>HT-SE-21-N1-11</t>
  </si>
  <si>
    <t>HT-SE-21-N1-14</t>
  </si>
  <si>
    <t>HT-SE-21-N1-21</t>
  </si>
  <si>
    <t>HT-SE-21-N1-23</t>
  </si>
  <si>
    <t>HT-SE-21-N1-33</t>
  </si>
  <si>
    <t>HT-SE-21-N1-43</t>
  </si>
  <si>
    <t>HT-SE-21-N1-51</t>
  </si>
  <si>
    <t>HT-SE-21-N1-53</t>
  </si>
  <si>
    <t>HT-SE-21-N1-54</t>
  </si>
  <si>
    <t>50 % Reservation</t>
  </si>
  <si>
    <t>SLR-SL-160-SV-S</t>
  </si>
  <si>
    <t>K52-C1-01</t>
  </si>
  <si>
    <t>C1</t>
  </si>
  <si>
    <t>Unit type</t>
  </si>
  <si>
    <t>BUILDING</t>
  </si>
  <si>
    <t>Apartment-4 Bedroom</t>
  </si>
  <si>
    <t>10% DP2</t>
  </si>
  <si>
    <t>PRICE FF</t>
  </si>
  <si>
    <t>PRICE FR</t>
  </si>
  <si>
    <t xml:space="preserve"> Keys / 52 AVAILABLE UNITS</t>
  </si>
  <si>
    <t>0</t>
  </si>
  <si>
    <t xml:space="preserve"> -   </t>
  </si>
  <si>
    <t>HT-SE-21-N1-41</t>
  </si>
  <si>
    <t>PARK CENTRAL Availability</t>
  </si>
  <si>
    <t>10 years</t>
  </si>
  <si>
    <t>UNIT CODES</t>
  </si>
  <si>
    <t>ZONE</t>
  </si>
  <si>
    <t>CLUSTER</t>
  </si>
  <si>
    <t>NUMBER OF BEDROOMS</t>
  </si>
  <si>
    <t>TOTAL GARDEN AREA</t>
  </si>
  <si>
    <t>Price</t>
  </si>
  <si>
    <t>A4</t>
  </si>
  <si>
    <t>A5</t>
  </si>
  <si>
    <t>A3</t>
  </si>
  <si>
    <t>PC1-A3-08-SA-01</t>
  </si>
  <si>
    <t>One Bedroom plus</t>
  </si>
  <si>
    <t>A6</t>
  </si>
  <si>
    <t>One Bedroom</t>
  </si>
  <si>
    <t>PENTHOUSE</t>
  </si>
  <si>
    <t>Three Bedrooms plus</t>
  </si>
  <si>
    <t>PC1-A4-03-LB-34</t>
  </si>
  <si>
    <t>Two Bedrooms plus</t>
  </si>
  <si>
    <t>PC1-A5-05-LB-21</t>
  </si>
  <si>
    <t>PC1-A3-01-SA-24</t>
  </si>
  <si>
    <t>PC1-A3-02-LB-51</t>
  </si>
  <si>
    <t>PC1-A3-02-LB-52</t>
  </si>
  <si>
    <t>PC1-A3-03-LB-01</t>
  </si>
  <si>
    <t>PC1-A3-06-LB-11</t>
  </si>
  <si>
    <t>PC1-A6-01-LB-41</t>
  </si>
  <si>
    <t>PC1-A6-02-SA-34</t>
  </si>
  <si>
    <t>PC1-A6-02-SA-41</t>
  </si>
  <si>
    <t>PC1-A6-04-SA-52</t>
  </si>
  <si>
    <t>PC1-A6-05-LA-52</t>
  </si>
  <si>
    <t>PC1-A6-05-LB-21</t>
  </si>
  <si>
    <t>DUPLEX</t>
  </si>
  <si>
    <t>SLR-AM-304-B3-31</t>
  </si>
  <si>
    <t>MONOS - Penthouse 3 Bedroom</t>
  </si>
  <si>
    <t>ENCORE Available Inventory</t>
  </si>
  <si>
    <t>BUILDING #</t>
  </si>
  <si>
    <t>GARDEN</t>
  </si>
  <si>
    <t>TOTAL PRICE</t>
  </si>
  <si>
    <t>ENC-LB01-21</t>
  </si>
  <si>
    <t>ENC-SA02-21</t>
  </si>
  <si>
    <t>ENC-SB02-21</t>
  </si>
  <si>
    <t>PENTHOUSE-Three Bedrooms</t>
  </si>
  <si>
    <t>3 Bedroom</t>
  </si>
  <si>
    <t>4 Bedroom</t>
  </si>
  <si>
    <t>2 Bedroom</t>
  </si>
  <si>
    <t>SLW-8003-B1-12</t>
  </si>
  <si>
    <t>V3</t>
  </si>
  <si>
    <t>Standalone Villa F</t>
  </si>
  <si>
    <t>SV-F</t>
  </si>
  <si>
    <t>Standalone Villa G</t>
  </si>
  <si>
    <t>SV-G</t>
  </si>
  <si>
    <t>TN-B</t>
  </si>
  <si>
    <t>VAL-V3-230-TF-A</t>
  </si>
  <si>
    <t>Townhouse 4 Corner</t>
  </si>
  <si>
    <t>TF-A</t>
  </si>
  <si>
    <t>Townhouse 4 Middle</t>
  </si>
  <si>
    <t>TF-C</t>
  </si>
  <si>
    <t>Standalone Villa D</t>
  </si>
  <si>
    <t>SV-D</t>
  </si>
  <si>
    <t>VAL-V3-232-SV-D</t>
  </si>
  <si>
    <t>HT-PV-08-A1-64</t>
  </si>
  <si>
    <t>VAL-V3-230-TF-C</t>
  </si>
  <si>
    <t>ENC-SA02-22</t>
  </si>
  <si>
    <t>PENTHOUSE-Four Bedrooms</t>
  </si>
  <si>
    <t>DUPLEX-Three Bedrooms</t>
  </si>
  <si>
    <t>ENC-LB01-02</t>
  </si>
  <si>
    <t>APARTMENT-Three Bedrooms</t>
  </si>
  <si>
    <t>ENC-SB02-01</t>
  </si>
  <si>
    <t>ENC-LA01-11</t>
  </si>
  <si>
    <t>DP 7 Years</t>
  </si>
  <si>
    <t>DP 10 Years</t>
  </si>
  <si>
    <t>TWIN VILLA</t>
  </si>
  <si>
    <t>STANDALONE VILLA</t>
  </si>
  <si>
    <t>VL-L</t>
  </si>
  <si>
    <t>SLW-5012-VL-L</t>
  </si>
  <si>
    <t>SLW-1008-C1-31</t>
  </si>
  <si>
    <t>SLW-2003-B1-11</t>
  </si>
  <si>
    <t>SLW-2003-B1-12</t>
  </si>
  <si>
    <t>SLW-2007-B1-11</t>
  </si>
  <si>
    <t>SLW-2007-B1-12</t>
  </si>
  <si>
    <t>SLW-2007-B1-21</t>
  </si>
  <si>
    <t>SLW-2007-B1-22</t>
  </si>
  <si>
    <t>B1</t>
  </si>
  <si>
    <t>SLW-8001-B1-31</t>
  </si>
  <si>
    <t>B2</t>
  </si>
  <si>
    <t>PC1-A3-08-SA-31</t>
  </si>
  <si>
    <t>SLR-PH-10-B14-04</t>
  </si>
  <si>
    <t>SLR-PH-10-B04-04</t>
  </si>
  <si>
    <t>SLR-PH-10-B04-12</t>
  </si>
  <si>
    <t>One Bedroom plus Study</t>
  </si>
  <si>
    <t>SLR-PH-10-B04-14</t>
  </si>
  <si>
    <t>SLR-PH-10-B04-15</t>
  </si>
  <si>
    <t>SLR-PH-10-B04-22</t>
  </si>
  <si>
    <t>SLR-PH-10-B04-24</t>
  </si>
  <si>
    <t>SLR-PH-10-B04-42</t>
  </si>
  <si>
    <t>SLR-PH-10-B04-44</t>
  </si>
  <si>
    <t>SLR-PH-10-B04-52</t>
  </si>
  <si>
    <t>SLR-PH-10-B04-54</t>
  </si>
  <si>
    <t>SLR-PH-13-B14-01</t>
  </si>
  <si>
    <t>SLR-PH-13-B14-12</t>
  </si>
  <si>
    <t>SLR-PH-13-B14-14</t>
  </si>
  <si>
    <t>SLR-PH-13-B14-22</t>
  </si>
  <si>
    <t>SLR-PH-13-B14-24</t>
  </si>
  <si>
    <t>SLR-PH-13-B14-34</t>
  </si>
  <si>
    <t>SLR-PH-13-B14-42</t>
  </si>
  <si>
    <t>SLR-PH-13-B14-44</t>
  </si>
  <si>
    <t>SLR-PH-13-B14-52</t>
  </si>
  <si>
    <t>SLR-PH-13-B14-54</t>
  </si>
  <si>
    <t>SLR-AM-305-B2-01</t>
  </si>
  <si>
    <t>305-B2</t>
  </si>
  <si>
    <t>SLR-AM-305-B2-11</t>
  </si>
  <si>
    <t>SLR-AM-305-B2-21</t>
  </si>
  <si>
    <t>305-B3</t>
  </si>
  <si>
    <t>SLR-AM-305-B3-31</t>
  </si>
  <si>
    <t>MONOS - Apartment 3 Bedrooms</t>
  </si>
  <si>
    <t>SLR-SL-157-SV-K</t>
  </si>
  <si>
    <t>SLR-OP-A02-101</t>
  </si>
  <si>
    <t>A02</t>
  </si>
  <si>
    <t>SLR-OP-A02-102</t>
  </si>
  <si>
    <t>SLR-OP-A02-103</t>
  </si>
  <si>
    <t>SLR-OP-A02-104</t>
  </si>
  <si>
    <t>SLR-OP-A02-201</t>
  </si>
  <si>
    <t>SLR-OP-A02-203</t>
  </si>
  <si>
    <t>SLR-OP-A02-204</t>
  </si>
  <si>
    <t>SLR-OP-A02-301</t>
  </si>
  <si>
    <t>SLR-OP-A02-302</t>
  </si>
  <si>
    <t>SLR-OP-A02-304</t>
  </si>
  <si>
    <t>C02</t>
  </si>
  <si>
    <t>SLR-OP-C02-106</t>
  </si>
  <si>
    <t>SLR-OP-C02-107</t>
  </si>
  <si>
    <t>SLR-OP-C02-108</t>
  </si>
  <si>
    <t>SLR-OP-C02-111</t>
  </si>
  <si>
    <t>SLR-OP-C02-204</t>
  </si>
  <si>
    <t>SLR-OP-C02-208</t>
  </si>
  <si>
    <t>SLR-OP-C02-211</t>
  </si>
  <si>
    <t>SLR-OP-C02-307</t>
  </si>
  <si>
    <t>SLR-OP-C02-308</t>
  </si>
  <si>
    <t>SLR-OP-C02-311</t>
  </si>
  <si>
    <t>SLR-OP-C02-401</t>
  </si>
  <si>
    <t>SLR-OP-C02-403</t>
  </si>
  <si>
    <t>SLR-OP-C02-405</t>
  </si>
  <si>
    <t>SLR-OP-C02-406</t>
  </si>
  <si>
    <t>SLR-OP-C02-407</t>
  </si>
  <si>
    <t>SLR-OP-C02-408</t>
  </si>
  <si>
    <t>SLR-OP-C02-409</t>
  </si>
  <si>
    <t>SLR-OP-C02-410</t>
  </si>
  <si>
    <t>SLR-OP-C02-501</t>
  </si>
  <si>
    <t>SLR-OP-C02-502</t>
  </si>
  <si>
    <t>SLR-OP-C02-503</t>
  </si>
  <si>
    <t>SLR-OP-C02-506</t>
  </si>
  <si>
    <t>SLR-OP-C02-507</t>
  </si>
  <si>
    <t>SLR-OP-C02-508</t>
  </si>
  <si>
    <t>SLR-OP-C02-509</t>
  </si>
  <si>
    <t>SLR-OP-C02-510</t>
  </si>
  <si>
    <t>SLW-4005-SV-A</t>
  </si>
  <si>
    <t>VL-X</t>
  </si>
  <si>
    <t>SLW-4008-SV-A</t>
  </si>
  <si>
    <t>ENC-LB01-11</t>
  </si>
  <si>
    <t>4 Years</t>
  </si>
  <si>
    <t>ENC-NA05-01</t>
  </si>
  <si>
    <t>APARTMENT-Two Bedrooms</t>
  </si>
  <si>
    <t>ENC-NA05-02</t>
  </si>
  <si>
    <t>ENC-NA05-04</t>
  </si>
  <si>
    <t>ENC-NA05-05</t>
  </si>
  <si>
    <t>ENC-NA05-11</t>
  </si>
  <si>
    <t>ENC-NA05-12</t>
  </si>
  <si>
    <t>ENC-NA05-13</t>
  </si>
  <si>
    <t>ENC-NA05-15</t>
  </si>
  <si>
    <t>PENTHOUSE-Two Bedrooms</t>
  </si>
  <si>
    <t>ENC-NA05-22</t>
  </si>
  <si>
    <t>SLW-8003-B1-11</t>
  </si>
  <si>
    <t>VAL-V3-231-SV-D</t>
  </si>
  <si>
    <t>VAL-V3-285-TF-C</t>
  </si>
  <si>
    <t>SLW-3004-TW-B</t>
  </si>
  <si>
    <t>SLR-AM-305-B3-11</t>
  </si>
  <si>
    <t>SLW-2003-B1-21</t>
  </si>
  <si>
    <t>A04</t>
  </si>
  <si>
    <t>SLW-0901-SV-T</t>
  </si>
  <si>
    <t>SLW-3005-TW-A</t>
  </si>
  <si>
    <t>SLW-5001-VL-X</t>
  </si>
  <si>
    <t>SV-T</t>
  </si>
  <si>
    <t>UNIT DESCRIPTION</t>
  </si>
  <si>
    <t>ROOF TERRACE AREA</t>
  </si>
  <si>
    <t>BASEMENT</t>
  </si>
  <si>
    <t>TOTAL PRICE - 7 Years</t>
  </si>
  <si>
    <t>TOTAL PRICE - 10 Years</t>
  </si>
  <si>
    <t>SLW-2005-B1-02</t>
  </si>
  <si>
    <t>SWAN LAKE WEST AVAILABLE UNITS</t>
  </si>
  <si>
    <r>
      <t xml:space="preserve">SWANLAKE WEST - </t>
    </r>
    <r>
      <rPr>
        <b/>
        <sz val="18"/>
        <color rgb="FFFF0000"/>
        <rFont val="Calibri"/>
        <family val="2"/>
        <scheme val="minor"/>
      </rPr>
      <t>MONOS</t>
    </r>
    <r>
      <rPr>
        <b/>
        <sz val="18"/>
        <color rgb="FFFFFFFF"/>
        <rFont val="Calibri"/>
        <family val="2"/>
        <scheme val="minor"/>
      </rPr>
      <t xml:space="preserve"> INVENTORY</t>
    </r>
  </si>
  <si>
    <r>
      <t xml:space="preserve">SWANLAKE WEST - </t>
    </r>
    <r>
      <rPr>
        <b/>
        <sz val="17"/>
        <color rgb="FFFF0000"/>
        <rFont val="Calibri"/>
        <family val="2"/>
        <scheme val="minor"/>
      </rPr>
      <t>Twains</t>
    </r>
    <r>
      <rPr>
        <b/>
        <sz val="17"/>
        <color theme="0"/>
        <rFont val="Calibri"/>
        <family val="2"/>
        <scheme val="minor"/>
      </rPr>
      <t xml:space="preserve"> AVAILABLE UNITS</t>
    </r>
  </si>
  <si>
    <t>CLUSTER #</t>
  </si>
  <si>
    <t>Unit #</t>
  </si>
  <si>
    <t>Gross BUA</t>
  </si>
  <si>
    <t>Unit code</t>
  </si>
  <si>
    <t>Number of Bedrooms</t>
  </si>
  <si>
    <t>Sellable BUA</t>
  </si>
  <si>
    <r>
      <t xml:space="preserve">SWANLAKE WEST - </t>
    </r>
    <r>
      <rPr>
        <b/>
        <sz val="17"/>
        <color rgb="FFFF0000"/>
        <rFont val="Calibri"/>
        <family val="2"/>
        <scheme val="minor"/>
      </rPr>
      <t>Shimmers</t>
    </r>
    <r>
      <rPr>
        <b/>
        <sz val="17"/>
        <color theme="0"/>
        <rFont val="Calibri"/>
        <family val="2"/>
        <scheme val="minor"/>
      </rPr>
      <t xml:space="preserve"> AVAILABLE UNITS</t>
    </r>
  </si>
  <si>
    <t>VAL-V3-215-SV-G</t>
  </si>
  <si>
    <t>VAL-V3-218-SV-G</t>
  </si>
  <si>
    <t>VAL-V3-224-SV-F</t>
  </si>
  <si>
    <t>VAL-V3-229-TN-B</t>
  </si>
  <si>
    <r>
      <t xml:space="preserve">SWANLAKE WEST - </t>
    </r>
    <r>
      <rPr>
        <b/>
        <sz val="18"/>
        <color rgb="FFFF0000"/>
        <rFont val="Calibri"/>
        <family val="2"/>
        <scheme val="minor"/>
      </rPr>
      <t>Solos</t>
    </r>
    <r>
      <rPr>
        <b/>
        <sz val="18"/>
        <color rgb="FFFFFFFF"/>
        <rFont val="Calibri"/>
        <family val="2"/>
        <scheme val="minor"/>
      </rPr>
      <t xml:space="preserve"> INVENTORY</t>
    </r>
  </si>
  <si>
    <t>SLW-6009-SO-A</t>
  </si>
  <si>
    <t>Apartment</t>
  </si>
  <si>
    <t>Apartment 4 Bedrooms</t>
  </si>
  <si>
    <t>Roof Area</t>
  </si>
  <si>
    <t>SLW-7006-SV-E</t>
  </si>
  <si>
    <t>SV-E</t>
  </si>
  <si>
    <t>SLW-7007-SV-E</t>
  </si>
  <si>
    <t>SLW-7009-SV-D</t>
  </si>
  <si>
    <t>HT-SE-20-Q2-13</t>
  </si>
  <si>
    <t>SLR-OP-A02-403</t>
  </si>
  <si>
    <t>SLN-TW-417-A</t>
  </si>
  <si>
    <t>MONOS-TWIN-RIGHT</t>
  </si>
  <si>
    <t>DP 25%</t>
  </si>
  <si>
    <t>SWANLAKE NORTH - Old Phases - 25 % DP over 2 years - Ready to move</t>
  </si>
  <si>
    <t>ENC-LA01-12</t>
  </si>
  <si>
    <t>APARTMENT-One Bedroom</t>
  </si>
  <si>
    <t>SLR-PH-10-B14-22</t>
  </si>
  <si>
    <t>10% DP3</t>
  </si>
  <si>
    <t>7 Years</t>
  </si>
  <si>
    <t>3 Years</t>
  </si>
  <si>
    <t>Price 2</t>
  </si>
  <si>
    <t>Price 3</t>
  </si>
  <si>
    <t>SLR-OP-C02-101</t>
  </si>
  <si>
    <t>PC1-A3-06-LA-21</t>
  </si>
  <si>
    <t>PC1-A4-02-LA-13</t>
  </si>
  <si>
    <t>PC1-A5-01-LA-03</t>
  </si>
  <si>
    <t>PC1-A5-03-MA-04</t>
  </si>
  <si>
    <t>PC1-A6-05-LA-41</t>
  </si>
  <si>
    <t>6 years</t>
  </si>
  <si>
    <t>4 years</t>
  </si>
  <si>
    <t>PC1-A4-01-SA-12</t>
  </si>
  <si>
    <t>PC1-A4-01-SA-22</t>
  </si>
  <si>
    <t>PC1-A3-08-SA-32</t>
  </si>
  <si>
    <t>PC1-A3-08-SA-51</t>
  </si>
  <si>
    <t>SLR-PH-13-B04-01</t>
  </si>
  <si>
    <t>SLR-PH-13-B04-14</t>
  </si>
  <si>
    <t>SLR-PH-13-B04-24</t>
  </si>
  <si>
    <t>SLR-PH-13-B04-34</t>
  </si>
  <si>
    <t>SLR-PH-13-B04-44</t>
  </si>
  <si>
    <t>SLR-PH-13-B04-52</t>
  </si>
  <si>
    <t>SLR-PH-13-B04-54</t>
  </si>
  <si>
    <t>VAL-V3-221-SV-G</t>
  </si>
  <si>
    <t>SLR-PH-13-B14-32</t>
  </si>
  <si>
    <t>PC1-A4-01-SA-11</t>
  </si>
  <si>
    <t>Unfinished</t>
  </si>
  <si>
    <t>TOTAL PRICE 2</t>
  </si>
  <si>
    <t>5% Reservation 2</t>
  </si>
  <si>
    <t>TOTAL PRICE 3</t>
  </si>
  <si>
    <t>5% Reservation 3</t>
  </si>
  <si>
    <t>PC1-A3-08-SA-33</t>
  </si>
  <si>
    <t>SLW-8003-B2-31</t>
  </si>
  <si>
    <t>SLR-PH-13-B14-04</t>
  </si>
  <si>
    <t>SLR-PH-13-B14-15</t>
  </si>
  <si>
    <t>SLR-PH-13-B04-04</t>
  </si>
  <si>
    <t>PC1-A6-01-LA-34</t>
  </si>
  <si>
    <t>SLR-OP-C02-309</t>
  </si>
  <si>
    <t>SLW-1105-SV-F</t>
  </si>
  <si>
    <t>Standalone Loft Villa</t>
  </si>
  <si>
    <t>SLR-PH-13-B14-13</t>
  </si>
  <si>
    <t>SLR-PH-12-B13-24</t>
  </si>
  <si>
    <t>SLW-1113-TL-B</t>
  </si>
  <si>
    <t>SLW-5010-VL-X</t>
  </si>
  <si>
    <t>SLW-5013-VL-L</t>
  </si>
  <si>
    <t>Twin Loft Villa</t>
  </si>
  <si>
    <t>TL-B</t>
  </si>
  <si>
    <t>5 years</t>
  </si>
  <si>
    <t>PC1-A3-07-SA-13</t>
  </si>
  <si>
    <t>SLR-OP-A04-505</t>
  </si>
  <si>
    <t>SLR-PH-12-B13-03</t>
  </si>
  <si>
    <t>VAL-V3-255-TN-A</t>
  </si>
  <si>
    <t>Twin Villa A</t>
  </si>
  <si>
    <t>TN-A</t>
  </si>
  <si>
    <t>VAL-V3-255-TN-B</t>
  </si>
  <si>
    <t>VAL-V3-256-TN-A</t>
  </si>
  <si>
    <t>VAL-V3-257-TN-A</t>
  </si>
  <si>
    <t>VAL-V3-257-TN-B</t>
  </si>
  <si>
    <t>PC1-A4-01-SA-14</t>
  </si>
  <si>
    <t>SLO Inventory</t>
  </si>
  <si>
    <t>15 % Reservation</t>
  </si>
  <si>
    <t>SLO-1-V5-75</t>
  </si>
  <si>
    <t>SLW-8011-B1-01</t>
  </si>
  <si>
    <t>SLW-8011-B1-02</t>
  </si>
  <si>
    <t>SLW-8011-B2-02</t>
  </si>
  <si>
    <t>SLW-8011-B1-11</t>
  </si>
  <si>
    <t>SLW-8011-B1-12</t>
  </si>
  <si>
    <t>SLW-8011-B2-11</t>
  </si>
  <si>
    <t>SLW-8011-B2-12</t>
  </si>
  <si>
    <t>SLW-8011-B1-22</t>
  </si>
  <si>
    <t>SLW-8011-B2-21</t>
  </si>
  <si>
    <t>SLR-PH-10-B04-02</t>
  </si>
  <si>
    <t>SLR-PH-10-B14-02</t>
  </si>
  <si>
    <t>SLR-PH-10-B14-03</t>
  </si>
  <si>
    <t>SLR-PH-10-B14-13</t>
  </si>
  <si>
    <t>SLR-PH-13-B04-15</t>
  </si>
  <si>
    <t>VAL-V3-206-SV-G</t>
  </si>
  <si>
    <t>SLR-PH-09-B03-21</t>
  </si>
  <si>
    <t>SLR-OP-C02-304</t>
  </si>
  <si>
    <t>VAL-V3-229-TN-A</t>
  </si>
  <si>
    <t>ENC-NA05-14</t>
  </si>
  <si>
    <t>SLR-OP-C02-306</t>
  </si>
  <si>
    <t>SLR-OP-C02-504</t>
  </si>
  <si>
    <t>SLR-OP-C02-505</t>
  </si>
  <si>
    <t>SLR-OP-A02-202</t>
  </si>
  <si>
    <t>SLW-8011-B2-31</t>
  </si>
  <si>
    <t>VAL-V3-207-SV-G</t>
  </si>
  <si>
    <t>VAL-V3-208-SV-G</t>
  </si>
  <si>
    <t>VAL-V3-209-SV-G</t>
  </si>
  <si>
    <t>VAL-V3-239-TN-A</t>
  </si>
  <si>
    <t>VAL-V3-241-TN-A</t>
  </si>
  <si>
    <t>VAL-V3-256-TN-B</t>
  </si>
  <si>
    <t>TF-B</t>
  </si>
  <si>
    <t>VAL-V3-285-TF-B</t>
  </si>
  <si>
    <t>10 &amp; 9 Years</t>
  </si>
  <si>
    <t>VAL-V3-285-TF-A</t>
  </si>
  <si>
    <t>SLR-OP-C02-110</t>
  </si>
  <si>
    <t>SLW-8011-B2-32</t>
  </si>
  <si>
    <t>SLR-OP-A04-511</t>
  </si>
  <si>
    <t>SLR-PH-12-B13-21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</si>
</sst>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&quot;EGP&quot;\ #,##0.00;&quot;EGP&quot;\ \-#,##0.00"/>
    <numFmt numFmtId="166" formatCode="#,##0.0"/>
  </numFmts>
  <fonts count="6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0"/>
      <name val="Calibri"/>
      <family val="2"/>
    </font>
    <font>
      <b/>
      <sz val="11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20"/>
      <color theme="0"/>
      <name val="Arial"/>
      <family val="2"/>
    </font>
    <font>
      <sz val="12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7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b/>
      <sz val="12"/>
      <name val="Calibri"/>
      <family val="2"/>
    </font>
    <font>
      <b/>
      <sz val="12"/>
      <color rgb="FFFFFFFF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6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theme="0"/>
      <name val="Calibri"/>
      <family val="2"/>
    </font>
    <font>
      <b/>
      <sz val="12"/>
      <name val="Arial"/>
      <family val="2"/>
    </font>
    <font>
      <b/>
      <sz val="28"/>
      <color rgb="FFFFFFFF"/>
      <name val="Calibri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20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5" tint="-0.499984740745262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7"/>
      <color rgb="FFFF0000"/>
      <name val="Calibri"/>
      <family val="2"/>
      <scheme val="minor"/>
    </font>
    <font>
      <b/>
      <sz val="16"/>
      <color theme="0"/>
      <name val="Arial"/>
      <family val="2"/>
    </font>
    <font>
      <b/>
      <sz val="14"/>
      <color rgb="FFFFFFFF"/>
      <name val="Arial"/>
      <family val="2"/>
    </font>
    <font>
      <b/>
      <sz val="20"/>
      <color rgb="FFFFFFFF"/>
      <name val="Calibri"/>
      <family val="2"/>
    </font>
    <font>
      <b/>
      <sz val="22"/>
      <color rgb="FFFFFFFF"/>
      <name val="Calibri"/>
      <family val="2"/>
    </font>
    <font>
      <b/>
      <sz val="18"/>
      <color rgb="FFFFFFFF"/>
      <name val="Times New Roman"/>
      <family val="1"/>
    </font>
    <font>
      <sz val="10"/>
      <color rgb="FFFFFFFF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66666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73763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C00000"/>
        <bgColor indexed="64"/>
      </patternFill>
    </fill>
  </fills>
  <borders count="7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CCCCCC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rgb="FFCCCCCC"/>
      </right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rgb="FF00FFFF"/>
      </left>
      <right/>
      <top style="thick">
        <color rgb="FF00FFFF"/>
      </top>
      <bottom/>
      <diagonal/>
    </border>
    <border>
      <left/>
      <right style="thick">
        <color rgb="FF00FFFF"/>
      </right>
      <top style="thick">
        <color rgb="FF00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/>
      <diagonal/>
    </border>
    <border>
      <left style="medium">
        <color rgb="FFCCCCCC"/>
      </left>
      <right style="thick">
        <color rgb="FF00FFFF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double">
        <color indexed="64"/>
      </right>
      <top style="medium">
        <color rgb="FFCCCCCC"/>
      </top>
      <bottom style="medium">
        <color rgb="FFCCCCCC"/>
      </bottom>
      <diagonal/>
    </border>
  </borders>
  <cellStyleXfs count="8">
    <xf numFmtId="0" fontId="0" fillId="0" borderId="0"/>
    <xf numFmtId="43" fontId="5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50" fillId="0" borderId="0"/>
    <xf numFmtId="0" fontId="33" fillId="0" borderId="0"/>
  </cellStyleXfs>
  <cellXfs count="307">
    <xf numFmtId="0" fontId="0" fillId="0" borderId="0" xfId="0"/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4" fontId="4" fillId="3" borderId="10" xfId="0" applyNumberFormat="1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43" fontId="9" fillId="2" borderId="17" xfId="0" applyNumberFormat="1" applyFont="1" applyFill="1" applyBorder="1" applyAlignment="1">
      <alignment horizontal="center" vertical="center" wrapText="1"/>
    </xf>
    <xf numFmtId="4" fontId="9" fillId="2" borderId="18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4" fontId="9" fillId="3" borderId="15" xfId="0" applyNumberFormat="1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4" fontId="9" fillId="3" borderId="10" xfId="0" applyNumberFormat="1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4" fontId="9" fillId="0" borderId="10" xfId="0" applyNumberFormat="1" applyFont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4" fontId="9" fillId="2" borderId="15" xfId="0" applyNumberFormat="1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4" fontId="9" fillId="0" borderId="17" xfId="0" applyNumberFormat="1" applyFont="1" applyBorder="1" applyAlignment="1">
      <alignment horizontal="center" vertical="center" wrapText="1"/>
    </xf>
    <xf numFmtId="4" fontId="9" fillId="2" borderId="17" xfId="0" applyNumberFormat="1" applyFont="1" applyFill="1" applyBorder="1" applyAlignment="1">
      <alignment horizontal="center" vertical="center" wrapText="1"/>
    </xf>
    <xf numFmtId="4" fontId="9" fillId="2" borderId="10" xfId="0" applyNumberFormat="1" applyFont="1" applyFill="1" applyBorder="1" applyAlignment="1">
      <alignment horizontal="center" vertical="center" wrapText="1"/>
    </xf>
    <xf numFmtId="4" fontId="9" fillId="0" borderId="10" xfId="0" applyNumberFormat="1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wrapText="1"/>
    </xf>
    <xf numFmtId="4" fontId="9" fillId="2" borderId="10" xfId="0" applyNumberFormat="1" applyFont="1" applyFill="1" applyBorder="1" applyAlignment="1">
      <alignment horizontal="center" wrapText="1"/>
    </xf>
    <xf numFmtId="0" fontId="0" fillId="0" borderId="10" xfId="0" applyBorder="1"/>
    <xf numFmtId="0" fontId="0" fillId="0" borderId="19" xfId="0" applyBorder="1" applyAlignment="1">
      <alignment wrapText="1"/>
    </xf>
    <xf numFmtId="0" fontId="11" fillId="6" borderId="10" xfId="0" applyFont="1" applyFill="1" applyBorder="1" applyAlignment="1">
      <alignment horizontal="center" wrapText="1"/>
    </xf>
    <xf numFmtId="0" fontId="13" fillId="3" borderId="10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" fontId="9" fillId="3" borderId="10" xfId="0" applyNumberFormat="1" applyFont="1" applyFill="1" applyBorder="1" applyAlignment="1">
      <alignment horizontal="center" vertical="center"/>
    </xf>
    <xf numFmtId="4" fontId="4" fillId="3" borderId="15" xfId="0" applyNumberFormat="1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19" fillId="7" borderId="17" xfId="0" applyFont="1" applyFill="1" applyBorder="1" applyAlignment="1">
      <alignment horizontal="center" vertical="center" wrapText="1"/>
    </xf>
    <xf numFmtId="0" fontId="18" fillId="7" borderId="17" xfId="0" applyFont="1" applyFill="1" applyBorder="1" applyAlignment="1">
      <alignment horizontal="center" vertical="center"/>
    </xf>
    <xf numFmtId="4" fontId="18" fillId="7" borderId="18" xfId="0" applyNumberFormat="1" applyFont="1" applyFill="1" applyBorder="1" applyAlignment="1">
      <alignment horizontal="center" vertical="center"/>
    </xf>
    <xf numFmtId="4" fontId="19" fillId="7" borderId="18" xfId="0" applyNumberFormat="1" applyFont="1" applyFill="1" applyBorder="1" applyAlignment="1">
      <alignment horizontal="center" vertical="center" wrapText="1"/>
    </xf>
    <xf numFmtId="4" fontId="13" fillId="3" borderId="15" xfId="0" applyNumberFormat="1" applyFont="1" applyFill="1" applyBorder="1" applyAlignment="1">
      <alignment horizontal="center" vertical="center" wrapText="1"/>
    </xf>
    <xf numFmtId="43" fontId="0" fillId="0" borderId="0" xfId="1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20" xfId="0" applyFont="1" applyBorder="1" applyAlignment="1">
      <alignment vertical="center" wrapText="1"/>
    </xf>
    <xf numFmtId="0" fontId="16" fillId="7" borderId="10" xfId="0" applyFont="1" applyFill="1" applyBorder="1" applyAlignment="1">
      <alignment horizontal="center" vertical="center"/>
    </xf>
    <xf numFmtId="4" fontId="16" fillId="7" borderId="10" xfId="0" applyNumberFormat="1" applyFont="1" applyFill="1" applyBorder="1" applyAlignment="1">
      <alignment horizontal="center" vertical="center" wrapText="1"/>
    </xf>
    <xf numFmtId="3" fontId="17" fillId="7" borderId="10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21" fillId="3" borderId="10" xfId="0" applyFont="1" applyFill="1" applyBorder="1" applyAlignment="1">
      <alignment horizontal="center" vertical="center" wrapText="1"/>
    </xf>
    <xf numFmtId="4" fontId="21" fillId="3" borderId="10" xfId="0" applyNumberFormat="1" applyFont="1" applyFill="1" applyBorder="1" applyAlignment="1">
      <alignment horizontal="center" vertical="center" wrapText="1"/>
    </xf>
    <xf numFmtId="0" fontId="1" fillId="0" borderId="9" xfId="0" applyFont="1" applyBorder="1" applyAlignment="1">
      <alignment wrapText="1"/>
    </xf>
    <xf numFmtId="0" fontId="11" fillId="6" borderId="15" xfId="0" applyFont="1" applyFill="1" applyBorder="1" applyAlignment="1">
      <alignment horizontal="center" wrapText="1"/>
    </xf>
    <xf numFmtId="0" fontId="19" fillId="6" borderId="10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4" fontId="22" fillId="3" borderId="10" xfId="0" applyNumberFormat="1" applyFont="1" applyFill="1" applyBorder="1" applyAlignment="1">
      <alignment horizontal="center" vertical="center" wrapText="1"/>
    </xf>
    <xf numFmtId="9" fontId="14" fillId="6" borderId="10" xfId="0" applyNumberFormat="1" applyFont="1" applyFill="1" applyBorder="1" applyAlignment="1">
      <alignment horizontal="center" vertical="center" wrapText="1"/>
    </xf>
    <xf numFmtId="0" fontId="24" fillId="8" borderId="0" xfId="0" applyFont="1" applyFill="1" applyAlignment="1">
      <alignment horizontal="left"/>
    </xf>
    <xf numFmtId="165" fontId="24" fillId="8" borderId="0" xfId="0" applyNumberFormat="1" applyFont="1" applyFill="1" applyAlignment="1">
      <alignment horizontal="right"/>
    </xf>
    <xf numFmtId="0" fontId="24" fillId="8" borderId="0" xfId="0" applyFont="1" applyFill="1" applyAlignment="1">
      <alignment horizontal="right"/>
    </xf>
    <xf numFmtId="0" fontId="24" fillId="8" borderId="0" xfId="0" applyFont="1" applyFill="1" applyAlignment="1">
      <alignment horizontal="center"/>
    </xf>
    <xf numFmtId="0" fontId="21" fillId="2" borderId="10" xfId="0" applyFont="1" applyFill="1" applyBorder="1" applyAlignment="1">
      <alignment horizontal="center" vertical="center" wrapText="1"/>
    </xf>
    <xf numFmtId="43" fontId="21" fillId="2" borderId="10" xfId="1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25" fillId="6" borderId="10" xfId="0" applyFont="1" applyFill="1" applyBorder="1" applyAlignment="1">
      <alignment horizontal="center" vertical="center" wrapText="1"/>
    </xf>
    <xf numFmtId="4" fontId="27" fillId="7" borderId="18" xfId="0" applyNumberFormat="1" applyFont="1" applyFill="1" applyBorder="1" applyAlignment="1">
      <alignment horizontal="center" vertical="center" wrapText="1"/>
    </xf>
    <xf numFmtId="4" fontId="21" fillId="2" borderId="10" xfId="0" applyNumberFormat="1" applyFont="1" applyFill="1" applyBorder="1" applyAlignment="1">
      <alignment horizontal="center" vertical="center" wrapText="1"/>
    </xf>
    <xf numFmtId="0" fontId="28" fillId="6" borderId="12" xfId="0" applyFont="1" applyFill="1" applyBorder="1" applyAlignment="1">
      <alignment horizontal="center" vertical="center" wrapText="1"/>
    </xf>
    <xf numFmtId="43" fontId="28" fillId="6" borderId="12" xfId="1" applyFont="1" applyFill="1" applyBorder="1" applyAlignment="1">
      <alignment horizontal="center" vertical="center" wrapText="1"/>
    </xf>
    <xf numFmtId="0" fontId="28" fillId="6" borderId="13" xfId="0" applyFont="1" applyFill="1" applyBorder="1" applyAlignment="1">
      <alignment horizontal="center" vertical="center" wrapText="1"/>
    </xf>
    <xf numFmtId="2" fontId="9" fillId="2" borderId="10" xfId="0" applyNumberFormat="1" applyFont="1" applyFill="1" applyBorder="1" applyAlignment="1">
      <alignment horizontal="center" vertical="center" wrapText="1"/>
    </xf>
    <xf numFmtId="2" fontId="4" fillId="3" borderId="10" xfId="0" applyNumberFormat="1" applyFont="1" applyFill="1" applyBorder="1" applyAlignment="1">
      <alignment horizontal="center" vertical="center" wrapText="1"/>
    </xf>
    <xf numFmtId="2" fontId="21" fillId="2" borderId="10" xfId="0" applyNumberFormat="1" applyFont="1" applyFill="1" applyBorder="1" applyAlignment="1">
      <alignment horizontal="center" vertical="center" wrapText="1"/>
    </xf>
    <xf numFmtId="0" fontId="30" fillId="3" borderId="10" xfId="0" applyFont="1" applyFill="1" applyBorder="1" applyAlignment="1">
      <alignment horizontal="center" vertical="center" wrapText="1"/>
    </xf>
    <xf numFmtId="4" fontId="30" fillId="3" borderId="15" xfId="0" applyNumberFormat="1" applyFont="1" applyFill="1" applyBorder="1" applyAlignment="1">
      <alignment horizontal="center" vertical="center" wrapText="1"/>
    </xf>
    <xf numFmtId="0" fontId="32" fillId="6" borderId="12" xfId="0" applyFont="1" applyFill="1" applyBorder="1" applyAlignment="1">
      <alignment horizontal="center" vertical="center" wrapText="1"/>
    </xf>
    <xf numFmtId="0" fontId="0" fillId="3" borderId="0" xfId="0" applyFill="1"/>
    <xf numFmtId="0" fontId="4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32" fillId="6" borderId="12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19" fillId="7" borderId="3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4" fontId="3" fillId="2" borderId="10" xfId="0" applyNumberFormat="1" applyFont="1" applyFill="1" applyBorder="1" applyAlignment="1">
      <alignment horizontal="center" vertical="center" wrapText="1"/>
    </xf>
    <xf numFmtId="0" fontId="34" fillId="0" borderId="0" xfId="2" applyFont="1" applyAlignment="1">
      <alignment wrapText="1"/>
    </xf>
    <xf numFmtId="0" fontId="34" fillId="0" borderId="0" xfId="3" applyFont="1" applyAlignment="1">
      <alignment wrapText="1"/>
    </xf>
    <xf numFmtId="0" fontId="13" fillId="2" borderId="10" xfId="0" applyFont="1" applyFill="1" applyBorder="1" applyAlignment="1">
      <alignment horizontal="center" vertical="center" wrapText="1"/>
    </xf>
    <xf numFmtId="4" fontId="13" fillId="2" borderId="10" xfId="0" applyNumberFormat="1" applyFont="1" applyFill="1" applyBorder="1" applyAlignment="1">
      <alignment horizontal="center" vertical="center" wrapText="1"/>
    </xf>
    <xf numFmtId="0" fontId="37" fillId="2" borderId="0" xfId="0" applyFont="1" applyFill="1" applyAlignment="1">
      <alignment horizontal="center" wrapText="1"/>
    </xf>
    <xf numFmtId="0" fontId="36" fillId="2" borderId="0" xfId="0" applyFont="1" applyFill="1" applyAlignment="1">
      <alignment horizontal="center" wrapText="1"/>
    </xf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wrapText="1"/>
    </xf>
    <xf numFmtId="0" fontId="37" fillId="9" borderId="0" xfId="0" applyFont="1" applyFill="1" applyAlignment="1">
      <alignment horizontal="center" wrapText="1"/>
    </xf>
    <xf numFmtId="0" fontId="4" fillId="3" borderId="16" xfId="0" applyFont="1" applyFill="1" applyBorder="1" applyAlignment="1">
      <alignment horizontal="center" vertical="center" wrapText="1"/>
    </xf>
    <xf numFmtId="4" fontId="4" fillId="2" borderId="18" xfId="0" applyNumberFormat="1" applyFont="1" applyFill="1" applyBorder="1" applyAlignment="1">
      <alignment horizontal="center" vertical="center" wrapText="1"/>
    </xf>
    <xf numFmtId="4" fontId="13" fillId="3" borderId="17" xfId="0" applyNumberFormat="1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30" fillId="3" borderId="17" xfId="0" applyFont="1" applyFill="1" applyBorder="1" applyAlignment="1">
      <alignment horizontal="center" vertical="center" wrapText="1"/>
    </xf>
    <xf numFmtId="4" fontId="30" fillId="3" borderId="18" xfId="0" applyNumberFormat="1" applyFont="1" applyFill="1" applyBorder="1" applyAlignment="1">
      <alignment horizontal="center" vertical="center" wrapText="1"/>
    </xf>
    <xf numFmtId="4" fontId="9" fillId="3" borderId="0" xfId="0" applyNumberFormat="1" applyFont="1" applyFill="1" applyAlignment="1">
      <alignment horizontal="center" vertical="center"/>
    </xf>
    <xf numFmtId="4" fontId="17" fillId="7" borderId="10" xfId="0" applyNumberFormat="1" applyFont="1" applyFill="1" applyBorder="1" applyAlignment="1">
      <alignment horizontal="center" vertical="center"/>
    </xf>
    <xf numFmtId="2" fontId="38" fillId="2" borderId="10" xfId="0" applyNumberFormat="1" applyFont="1" applyFill="1" applyBorder="1" applyAlignment="1">
      <alignment horizontal="center" vertical="center" wrapText="1"/>
    </xf>
    <xf numFmtId="0" fontId="38" fillId="2" borderId="1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9" fontId="11" fillId="6" borderId="15" xfId="0" applyNumberFormat="1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0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" fillId="10" borderId="12" xfId="0" applyFont="1" applyFill="1" applyBorder="1" applyAlignment="1">
      <alignment horizontal="center" vertical="center" wrapText="1"/>
    </xf>
    <xf numFmtId="0" fontId="2" fillId="11" borderId="12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43" fontId="39" fillId="12" borderId="12" xfId="1" applyFont="1" applyFill="1" applyBorder="1" applyAlignment="1">
      <alignment horizontal="center" vertical="center" wrapText="1"/>
    </xf>
    <xf numFmtId="43" fontId="3" fillId="2" borderId="10" xfId="1" applyFont="1" applyFill="1" applyBorder="1" applyAlignment="1">
      <alignment horizontal="center" vertical="center" wrapText="1"/>
    </xf>
    <xf numFmtId="43" fontId="40" fillId="7" borderId="12" xfId="1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 wrapText="1"/>
    </xf>
    <xf numFmtId="4" fontId="31" fillId="2" borderId="14" xfId="0" applyNumberFormat="1" applyFont="1" applyFill="1" applyBorder="1" applyAlignment="1">
      <alignment horizontal="center" vertical="center" wrapText="1"/>
    </xf>
    <xf numFmtId="4" fontId="41" fillId="3" borderId="15" xfId="0" applyNumberFormat="1" applyFont="1" applyFill="1" applyBorder="1" applyAlignment="1">
      <alignment horizontal="center" vertical="center" wrapText="1"/>
    </xf>
    <xf numFmtId="0" fontId="42" fillId="3" borderId="0" xfId="0" applyFont="1" applyFill="1" applyAlignment="1">
      <alignment vertical="center" wrapText="1"/>
    </xf>
    <xf numFmtId="0" fontId="43" fillId="14" borderId="41" xfId="0" applyFont="1" applyFill="1" applyBorder="1" applyAlignment="1">
      <alignment horizontal="center" vertical="center" wrapText="1"/>
    </xf>
    <xf numFmtId="0" fontId="44" fillId="14" borderId="42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/>
    </xf>
    <xf numFmtId="0" fontId="0" fillId="0" borderId="40" xfId="0" applyBorder="1" applyAlignment="1">
      <alignment horizontal="center" vertical="center"/>
    </xf>
    <xf numFmtId="4" fontId="3" fillId="2" borderId="12" xfId="0" applyNumberFormat="1" applyFont="1" applyFill="1" applyBorder="1" applyAlignment="1">
      <alignment horizontal="center" vertical="center" wrapText="1"/>
    </xf>
    <xf numFmtId="0" fontId="34" fillId="15" borderId="0" xfId="4" applyFont="1" applyFill="1" applyAlignment="1">
      <alignment horizontal="center"/>
    </xf>
    <xf numFmtId="0" fontId="34" fillId="0" borderId="0" xfId="4" applyFont="1" applyAlignment="1">
      <alignment wrapText="1"/>
    </xf>
    <xf numFmtId="3" fontId="0" fillId="0" borderId="0" xfId="0" applyNumberFormat="1"/>
    <xf numFmtId="4" fontId="0" fillId="0" borderId="0" xfId="0" applyNumberFormat="1"/>
    <xf numFmtId="0" fontId="34" fillId="0" borderId="44" xfId="4" applyFont="1" applyBorder="1" applyAlignment="1">
      <alignment wrapText="1"/>
    </xf>
    <xf numFmtId="0" fontId="46" fillId="14" borderId="43" xfId="0" applyFont="1" applyFill="1" applyBorder="1" applyAlignment="1">
      <alignment horizontal="center" vertical="center" wrapText="1"/>
    </xf>
    <xf numFmtId="9" fontId="46" fillId="14" borderId="43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4" fontId="4" fillId="2" borderId="10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/>
    </xf>
    <xf numFmtId="0" fontId="49" fillId="0" borderId="0" xfId="0" applyFont="1"/>
    <xf numFmtId="0" fontId="34" fillId="0" borderId="44" xfId="5" applyFont="1" applyBorder="1" applyAlignment="1">
      <alignment wrapText="1"/>
    </xf>
    <xf numFmtId="1" fontId="38" fillId="2" borderId="10" xfId="0" applyNumberFormat="1" applyFont="1" applyFill="1" applyBorder="1" applyAlignment="1">
      <alignment horizontal="center" vertical="center" wrapText="1"/>
    </xf>
    <xf numFmtId="0" fontId="51" fillId="15" borderId="45" xfId="6" applyFont="1" applyFill="1" applyBorder="1" applyAlignment="1">
      <alignment horizontal="center"/>
    </xf>
    <xf numFmtId="0" fontId="51" fillId="0" borderId="44" xfId="6" applyFont="1" applyBorder="1" applyAlignment="1">
      <alignment wrapText="1"/>
    </xf>
    <xf numFmtId="4" fontId="38" fillId="2" borderId="10" xfId="1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8" fillId="3" borderId="10" xfId="0" applyFont="1" applyFill="1" applyBorder="1" applyAlignment="1">
      <alignment horizontal="center" vertical="center" wrapText="1"/>
    </xf>
    <xf numFmtId="1" fontId="38" fillId="3" borderId="10" xfId="0" applyNumberFormat="1" applyFont="1" applyFill="1" applyBorder="1" applyAlignment="1">
      <alignment horizontal="center" vertical="center" wrapText="1"/>
    </xf>
    <xf numFmtId="4" fontId="38" fillId="3" borderId="10" xfId="1" applyNumberFormat="1" applyFont="1" applyFill="1" applyBorder="1" applyAlignment="1">
      <alignment horizontal="center" vertical="center" wrapText="1"/>
    </xf>
    <xf numFmtId="0" fontId="2" fillId="6" borderId="46" xfId="0" applyFont="1" applyFill="1" applyBorder="1" applyAlignment="1">
      <alignment horizontal="center" vertical="center" wrapText="1"/>
    </xf>
    <xf numFmtId="0" fontId="28" fillId="6" borderId="47" xfId="0" applyFont="1" applyFill="1" applyBorder="1" applyAlignment="1">
      <alignment horizontal="center" vertical="center" wrapText="1"/>
    </xf>
    <xf numFmtId="0" fontId="28" fillId="6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" fontId="48" fillId="12" borderId="50" xfId="0" applyNumberFormat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6" borderId="52" xfId="0" applyFont="1" applyFill="1" applyBorder="1" applyAlignment="1">
      <alignment horizontal="center" vertical="center" wrapText="1"/>
    </xf>
    <xf numFmtId="0" fontId="4" fillId="3" borderId="49" xfId="0" applyFont="1" applyFill="1" applyBorder="1" applyAlignment="1">
      <alignment horizontal="center" vertical="center" wrapText="1"/>
    </xf>
    <xf numFmtId="4" fontId="13" fillId="2" borderId="51" xfId="0" applyNumberFormat="1" applyFont="1" applyFill="1" applyBorder="1" applyAlignment="1">
      <alignment horizontal="center" vertical="center" wrapText="1"/>
    </xf>
    <xf numFmtId="9" fontId="2" fillId="6" borderId="53" xfId="0" applyNumberFormat="1" applyFont="1" applyFill="1" applyBorder="1" applyAlignment="1">
      <alignment horizontal="center" vertical="center" wrapText="1"/>
    </xf>
    <xf numFmtId="0" fontId="4" fillId="2" borderId="49" xfId="0" applyFont="1" applyFill="1" applyBorder="1" applyAlignment="1">
      <alignment horizontal="center" wrapText="1"/>
    </xf>
    <xf numFmtId="0" fontId="11" fillId="6" borderId="56" xfId="0" applyFont="1" applyFill="1" applyBorder="1" applyAlignment="1">
      <alignment horizontal="center" vertical="center" wrapText="1"/>
    </xf>
    <xf numFmtId="9" fontId="11" fillId="6" borderId="51" xfId="0" applyNumberFormat="1" applyFont="1" applyFill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43" fontId="4" fillId="3" borderId="51" xfId="1" applyFont="1" applyFill="1" applyBorder="1" applyAlignment="1">
      <alignment vertical="center" wrapText="1"/>
    </xf>
    <xf numFmtId="0" fontId="9" fillId="2" borderId="58" xfId="0" applyFont="1" applyFill="1" applyBorder="1" applyAlignment="1">
      <alignment horizontal="center" vertical="center" wrapText="1"/>
    </xf>
    <xf numFmtId="0" fontId="35" fillId="7" borderId="55" xfId="0" applyFont="1" applyFill="1" applyBorder="1" applyAlignment="1">
      <alignment horizontal="center" vertical="center" wrapText="1"/>
    </xf>
    <xf numFmtId="0" fontId="9" fillId="2" borderId="59" xfId="0" applyFont="1" applyFill="1" applyBorder="1" applyAlignment="1">
      <alignment vertical="center" wrapText="1"/>
    </xf>
    <xf numFmtId="0" fontId="9" fillId="2" borderId="60" xfId="0" applyFont="1" applyFill="1" applyBorder="1" applyAlignment="1">
      <alignment vertical="center" wrapText="1"/>
    </xf>
    <xf numFmtId="4" fontId="17" fillId="7" borderId="55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/>
    </xf>
    <xf numFmtId="0" fontId="34" fillId="0" borderId="0" xfId="7" applyFont="1" applyAlignment="1">
      <alignment wrapText="1"/>
    </xf>
    <xf numFmtId="4" fontId="29" fillId="3" borderId="10" xfId="0" applyNumberFormat="1" applyFont="1" applyFill="1" applyBorder="1" applyAlignment="1">
      <alignment horizontal="center" vertical="center" wrapText="1"/>
    </xf>
    <xf numFmtId="4" fontId="29" fillId="3" borderId="51" xfId="0" applyNumberFormat="1" applyFont="1" applyFill="1" applyBorder="1" applyAlignment="1">
      <alignment horizontal="center" vertical="center" wrapText="1"/>
    </xf>
    <xf numFmtId="4" fontId="31" fillId="2" borderId="10" xfId="0" applyNumberFormat="1" applyFont="1" applyFill="1" applyBorder="1" applyAlignment="1">
      <alignment horizontal="center" vertical="center" wrapText="1"/>
    </xf>
    <xf numFmtId="4" fontId="31" fillId="2" borderId="51" xfId="0" applyNumberFormat="1" applyFont="1" applyFill="1" applyBorder="1" applyAlignment="1">
      <alignment horizontal="center" vertical="center" wrapText="1"/>
    </xf>
    <xf numFmtId="4" fontId="31" fillId="2" borderId="17" xfId="0" applyNumberFormat="1" applyFont="1" applyFill="1" applyBorder="1" applyAlignment="1">
      <alignment horizontal="center" vertical="center" wrapText="1"/>
    </xf>
    <xf numFmtId="4" fontId="31" fillId="2" borderId="54" xfId="0" applyNumberFormat="1" applyFont="1" applyFill="1" applyBorder="1" applyAlignment="1">
      <alignment horizontal="center" vertical="center" wrapText="1"/>
    </xf>
    <xf numFmtId="4" fontId="38" fillId="2" borderId="10" xfId="0" applyNumberFormat="1" applyFont="1" applyFill="1" applyBorder="1" applyAlignment="1">
      <alignment horizontal="center" vertical="center" wrapText="1"/>
    </xf>
    <xf numFmtId="4" fontId="38" fillId="3" borderId="10" xfId="0" applyNumberFormat="1" applyFont="1" applyFill="1" applyBorder="1" applyAlignment="1">
      <alignment horizontal="center" vertical="center" wrapText="1"/>
    </xf>
    <xf numFmtId="0" fontId="52" fillId="6" borderId="12" xfId="0" applyFont="1" applyFill="1" applyBorder="1" applyAlignment="1">
      <alignment horizontal="center" vertical="center" wrapText="1"/>
    </xf>
    <xf numFmtId="9" fontId="52" fillId="6" borderId="12" xfId="0" applyNumberFormat="1" applyFont="1" applyFill="1" applyBorder="1" applyAlignment="1">
      <alignment horizontal="center" vertical="center" wrapText="1"/>
    </xf>
    <xf numFmtId="0" fontId="53" fillId="6" borderId="12" xfId="0" applyFont="1" applyFill="1" applyBorder="1" applyAlignment="1">
      <alignment horizontal="center" vertical="center" wrapText="1"/>
    </xf>
    <xf numFmtId="9" fontId="53" fillId="6" borderId="12" xfId="0" applyNumberFormat="1" applyFont="1" applyFill="1" applyBorder="1" applyAlignment="1">
      <alignment horizontal="center" vertical="center" wrapText="1"/>
    </xf>
    <xf numFmtId="0" fontId="53" fillId="6" borderId="10" xfId="0" applyFont="1" applyFill="1" applyBorder="1" applyAlignment="1">
      <alignment horizontal="center" vertical="center" wrapText="1"/>
    </xf>
    <xf numFmtId="4" fontId="4" fillId="2" borderId="0" xfId="0" applyNumberFormat="1" applyFont="1" applyFill="1" applyAlignment="1">
      <alignment horizontal="center" vertical="center"/>
    </xf>
    <xf numFmtId="4" fontId="48" fillId="12" borderId="25" xfId="0" applyNumberFormat="1" applyFont="1" applyFill="1" applyBorder="1" applyAlignment="1">
      <alignment horizontal="center" vertical="center" wrapText="1"/>
    </xf>
    <xf numFmtId="0" fontId="34" fillId="15" borderId="45" xfId="5" applyFont="1" applyFill="1" applyBorder="1" applyAlignment="1">
      <alignment horizontal="center" vertical="center"/>
    </xf>
    <xf numFmtId="0" fontId="34" fillId="0" borderId="44" xfId="5" applyFont="1" applyBorder="1" applyAlignment="1">
      <alignment horizontal="center" vertical="center" wrapText="1"/>
    </xf>
    <xf numFmtId="43" fontId="0" fillId="0" borderId="0" xfId="1" applyFont="1"/>
    <xf numFmtId="164" fontId="0" fillId="0" borderId="0" xfId="0" applyNumberFormat="1"/>
    <xf numFmtId="4" fontId="35" fillId="7" borderId="10" xfId="0" applyNumberFormat="1" applyFont="1" applyFill="1" applyBorder="1" applyAlignment="1">
      <alignment horizontal="center" vertical="center"/>
    </xf>
    <xf numFmtId="0" fontId="0" fillId="0" borderId="27" xfId="0" applyBorder="1"/>
    <xf numFmtId="4" fontId="0" fillId="0" borderId="40" xfId="0" applyNumberFormat="1" applyBorder="1" applyAlignment="1">
      <alignment horizontal="center" vertical="center"/>
    </xf>
    <xf numFmtId="0" fontId="0" fillId="0" borderId="28" xfId="0" applyBorder="1" applyAlignment="1">
      <alignment vertical="center"/>
    </xf>
    <xf numFmtId="4" fontId="31" fillId="12" borderId="12" xfId="0" applyNumberFormat="1" applyFont="1" applyFill="1" applyBorder="1" applyAlignment="1">
      <alignment horizontal="center" vertical="center" wrapText="1"/>
    </xf>
    <xf numFmtId="4" fontId="31" fillId="12" borderId="10" xfId="0" applyNumberFormat="1" applyFont="1" applyFill="1" applyBorder="1" applyAlignment="1">
      <alignment horizontal="center" vertical="center" wrapText="1"/>
    </xf>
    <xf numFmtId="4" fontId="9" fillId="2" borderId="0" xfId="0" applyNumberFormat="1" applyFont="1" applyFill="1" applyAlignment="1">
      <alignment horizontal="center" wrapText="1"/>
    </xf>
    <xf numFmtId="0" fontId="1" fillId="17" borderId="0" xfId="0" applyFont="1" applyFill="1" applyAlignment="1">
      <alignment wrapText="1"/>
    </xf>
    <xf numFmtId="0" fontId="0" fillId="6" borderId="0" xfId="0" applyFill="1" applyAlignment="1">
      <alignment horizontal="center" vertical="center"/>
    </xf>
    <xf numFmtId="166" fontId="3" fillId="2" borderId="10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4" fontId="4" fillId="2" borderId="10" xfId="0" applyNumberFormat="1" applyFont="1" applyFill="1" applyBorder="1" applyAlignment="1">
      <alignment horizontal="center" vertical="center" wrapText="1"/>
    </xf>
    <xf numFmtId="4" fontId="13" fillId="3" borderId="10" xfId="0" applyNumberFormat="1" applyFont="1" applyFill="1" applyBorder="1" applyAlignment="1">
      <alignment horizontal="center" vertical="center" wrapText="1"/>
    </xf>
    <xf numFmtId="4" fontId="15" fillId="2" borderId="10" xfId="0" applyNumberFormat="1" applyFont="1" applyFill="1" applyBorder="1" applyAlignment="1">
      <alignment horizontal="center" vertical="center" wrapText="1"/>
    </xf>
    <xf numFmtId="4" fontId="30" fillId="2" borderId="10" xfId="0" applyNumberFormat="1" applyFont="1" applyFill="1" applyBorder="1" applyAlignment="1">
      <alignment horizontal="center" vertical="center" wrapText="1"/>
    </xf>
    <xf numFmtId="0" fontId="1" fillId="0" borderId="20" xfId="0" applyFont="1" applyBorder="1" applyAlignment="1">
      <alignment wrapText="1"/>
    </xf>
    <xf numFmtId="0" fontId="61" fillId="19" borderId="67" xfId="0" applyFont="1" applyFill="1" applyBorder="1" applyAlignment="1">
      <alignment horizontal="center" wrapText="1"/>
    </xf>
    <xf numFmtId="0" fontId="61" fillId="19" borderId="68" xfId="0" applyFont="1" applyFill="1" applyBorder="1" applyAlignment="1">
      <alignment horizontal="center" wrapText="1"/>
    </xf>
    <xf numFmtId="0" fontId="3" fillId="2" borderId="67" xfId="0" applyFont="1" applyFill="1" applyBorder="1" applyAlignment="1">
      <alignment horizontal="center" wrapText="1"/>
    </xf>
    <xf numFmtId="0" fontId="3" fillId="2" borderId="68" xfId="0" applyFont="1" applyFill="1" applyBorder="1" applyAlignment="1">
      <alignment horizontal="center" wrapText="1"/>
    </xf>
    <xf numFmtId="4" fontId="3" fillId="2" borderId="68" xfId="0" applyNumberFormat="1" applyFont="1" applyFill="1" applyBorder="1" applyAlignment="1">
      <alignment horizontal="center" wrapText="1"/>
    </xf>
    <xf numFmtId="0" fontId="3" fillId="2" borderId="68" xfId="0" applyFont="1" applyFill="1" applyBorder="1" applyAlignment="1">
      <alignment horizontal="center" vertical="center" wrapText="1"/>
    </xf>
    <xf numFmtId="4" fontId="3" fillId="2" borderId="0" xfId="0" applyNumberFormat="1" applyFont="1" applyFill="1" applyAlignment="1">
      <alignment horizontal="center" vertical="center" wrapText="1"/>
    </xf>
    <xf numFmtId="0" fontId="42" fillId="13" borderId="34" xfId="0" applyFont="1" applyFill="1" applyBorder="1" applyAlignment="1">
      <alignment horizontal="center" vertical="center" wrapText="1"/>
    </xf>
    <xf numFmtId="0" fontId="42" fillId="13" borderId="27" xfId="0" applyFont="1" applyFill="1" applyBorder="1" applyAlignment="1">
      <alignment horizontal="center" vertical="center" wrapText="1"/>
    </xf>
    <xf numFmtId="0" fontId="42" fillId="13" borderId="28" xfId="0" applyFont="1" applyFill="1" applyBorder="1" applyAlignment="1">
      <alignment horizontal="center" vertical="center" wrapText="1"/>
    </xf>
    <xf numFmtId="0" fontId="42" fillId="13" borderId="0" xfId="0" applyFont="1" applyFill="1" applyAlignment="1">
      <alignment horizontal="center" vertical="center" wrapText="1"/>
    </xf>
    <xf numFmtId="0" fontId="42" fillId="13" borderId="36" xfId="0" applyFont="1" applyFill="1" applyBorder="1" applyAlignment="1">
      <alignment horizontal="center" vertical="center" wrapText="1"/>
    </xf>
    <xf numFmtId="0" fontId="42" fillId="13" borderId="37" xfId="0" applyFont="1" applyFill="1" applyBorder="1" applyAlignment="1">
      <alignment horizontal="center" vertical="center" wrapText="1"/>
    </xf>
    <xf numFmtId="0" fontId="45" fillId="10" borderId="38" xfId="0" applyFont="1" applyFill="1" applyBorder="1" applyAlignment="1">
      <alignment horizontal="center" vertical="center" wrapText="1"/>
    </xf>
    <xf numFmtId="0" fontId="45" fillId="10" borderId="39" xfId="0" applyFont="1" applyFill="1" applyBorder="1" applyAlignment="1">
      <alignment horizontal="center" vertical="center" wrapText="1"/>
    </xf>
    <xf numFmtId="0" fontId="42" fillId="3" borderId="27" xfId="0" applyFont="1" applyFill="1" applyBorder="1" applyAlignment="1">
      <alignment horizontal="center" vertical="center" wrapText="1"/>
    </xf>
    <xf numFmtId="0" fontId="42" fillId="3" borderId="37" xfId="0" applyFont="1" applyFill="1" applyBorder="1" applyAlignment="1">
      <alignment horizontal="center" vertical="center" wrapText="1"/>
    </xf>
    <xf numFmtId="0" fontId="23" fillId="6" borderId="10" xfId="0" applyFont="1" applyFill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56" fillId="6" borderId="18" xfId="0" applyFont="1" applyFill="1" applyBorder="1" applyAlignment="1">
      <alignment horizontal="center" vertical="center" wrapText="1"/>
    </xf>
    <xf numFmtId="0" fontId="56" fillId="6" borderId="22" xfId="0" applyFont="1" applyFill="1" applyBorder="1" applyAlignment="1">
      <alignment horizontal="center" vertical="center" wrapText="1"/>
    </xf>
    <xf numFmtId="0" fontId="56" fillId="6" borderId="23" xfId="0" applyFont="1" applyFill="1" applyBorder="1" applyAlignment="1">
      <alignment horizontal="center" vertical="center" wrapText="1"/>
    </xf>
    <xf numFmtId="0" fontId="56" fillId="6" borderId="0" xfId="0" applyFont="1" applyFill="1" applyAlignment="1">
      <alignment horizontal="center" vertical="center" wrapText="1"/>
    </xf>
    <xf numFmtId="0" fontId="56" fillId="6" borderId="13" xfId="0" applyFont="1" applyFill="1" applyBorder="1" applyAlignment="1">
      <alignment horizontal="center" vertical="center" wrapText="1"/>
    </xf>
    <xf numFmtId="0" fontId="56" fillId="6" borderId="24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58" fillId="6" borderId="28" xfId="0" applyFont="1" applyFill="1" applyBorder="1" applyAlignment="1">
      <alignment horizontal="center" vertical="center" wrapText="1"/>
    </xf>
    <xf numFmtId="0" fontId="58" fillId="6" borderId="0" xfId="0" applyFont="1" applyFill="1" applyAlignment="1">
      <alignment horizontal="center" vertical="center" wrapText="1"/>
    </xf>
    <xf numFmtId="0" fontId="17" fillId="10" borderId="0" xfId="0" applyFont="1" applyFill="1" applyAlignment="1">
      <alignment horizontal="center" vertical="center"/>
    </xf>
    <xf numFmtId="0" fontId="57" fillId="20" borderId="40" xfId="0" applyFont="1" applyFill="1" applyBorder="1" applyAlignment="1">
      <alignment horizontal="center" vertical="center" wrapText="1"/>
    </xf>
    <xf numFmtId="0" fontId="59" fillId="6" borderId="28" xfId="0" applyFont="1" applyFill="1" applyBorder="1" applyAlignment="1">
      <alignment horizontal="center" vertical="center" wrapText="1"/>
    </xf>
    <xf numFmtId="0" fontId="59" fillId="6" borderId="0" xfId="0" applyFont="1" applyFill="1" applyAlignment="1">
      <alignment horizontal="center" vertical="center" wrapText="1"/>
    </xf>
    <xf numFmtId="0" fontId="58" fillId="6" borderId="26" xfId="0" applyFont="1" applyFill="1" applyBorder="1" applyAlignment="1">
      <alignment horizontal="center" vertical="center" wrapText="1"/>
    </xf>
    <xf numFmtId="0" fontId="17" fillId="16" borderId="62" xfId="0" applyFont="1" applyFill="1" applyBorder="1" applyAlignment="1">
      <alignment horizontal="center" vertical="center"/>
    </xf>
    <xf numFmtId="0" fontId="17" fillId="16" borderId="63" xfId="0" applyFont="1" applyFill="1" applyBorder="1" applyAlignment="1">
      <alignment horizontal="center" vertical="center"/>
    </xf>
    <xf numFmtId="0" fontId="17" fillId="16" borderId="64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21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7" fillId="6" borderId="6" xfId="0" applyFont="1" applyFill="1" applyBorder="1" applyAlignment="1">
      <alignment horizontal="center" vertical="center"/>
    </xf>
    <xf numFmtId="0" fontId="47" fillId="6" borderId="7" xfId="0" applyFont="1" applyFill="1" applyBorder="1" applyAlignment="1">
      <alignment horizontal="center" vertical="center"/>
    </xf>
    <xf numFmtId="0" fontId="12" fillId="6" borderId="23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26" fillId="6" borderId="0" xfId="0" applyFont="1" applyFill="1" applyAlignment="1">
      <alignment horizontal="center" vertical="center"/>
    </xf>
    <xf numFmtId="0" fontId="6" fillId="6" borderId="27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/>
    </xf>
    <xf numFmtId="0" fontId="6" fillId="6" borderId="28" xfId="0" applyFont="1" applyFill="1" applyBorder="1" applyAlignment="1">
      <alignment horizontal="center" vertical="center" wrapText="1"/>
    </xf>
    <xf numFmtId="0" fontId="10" fillId="6" borderId="46" xfId="0" applyFont="1" applyFill="1" applyBorder="1" applyAlignment="1">
      <alignment horizontal="center" vertical="center"/>
    </xf>
    <xf numFmtId="0" fontId="10" fillId="6" borderId="47" xfId="0" applyFont="1" applyFill="1" applyBorder="1" applyAlignment="1">
      <alignment horizontal="center" vertical="center"/>
    </xf>
    <xf numFmtId="0" fontId="10" fillId="6" borderId="48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5" xfId="0" applyFont="1" applyFill="1" applyBorder="1" applyAlignment="1">
      <alignment horizontal="center" vertical="center" wrapText="1"/>
    </xf>
    <xf numFmtId="0" fontId="60" fillId="18" borderId="65" xfId="0" applyFont="1" applyFill="1" applyBorder="1" applyAlignment="1">
      <alignment horizontal="center" vertical="center" wrapText="1"/>
    </xf>
    <xf numFmtId="0" fontId="60" fillId="18" borderId="66" xfId="0" applyFont="1" applyFill="1" applyBorder="1" applyAlignment="1">
      <alignment horizontal="center" vertical="center" wrapText="1"/>
    </xf>
    <xf numFmtId="0" fontId="60" fillId="18" borderId="69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/>
    </xf>
  </cellXfs>
  <cellStyles count="8">
    <cellStyle name="Comma" xfId="1" builtinId="3"/>
    <cellStyle name="Normal" xfId="0" builtinId="0"/>
    <cellStyle name="Normal_Park Central" xfId="4" xr:uid="{FE10B36F-01BE-4580-924D-636F5D2A88F5}"/>
    <cellStyle name="Normal_Park Central_1" xfId="6" xr:uid="{6DE7C78D-AD8C-415D-B657-A2EF4DD47532}"/>
    <cellStyle name="Normal_Sheet1" xfId="2" xr:uid="{356B25DD-C06C-4275-A1F2-EE74761C0D37}"/>
    <cellStyle name="Normal_SLR" xfId="3" xr:uid="{F8558A81-B39A-4559-8F69-575162B415F5}"/>
    <cellStyle name="Normal_SLW" xfId="7" xr:uid="{D9174536-960D-45FA-9D04-0D1E5DE1C774}"/>
    <cellStyle name="Normal_The Valleys" xfId="5" xr:uid="{1BA1631F-216F-464B-A48F-FA6B83C92E6C}"/>
  </cellStyles>
  <dxfs count="6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double">
          <color indexed="64"/>
        </right>
        <top/>
        <bottom/>
      </border>
    </dxf>
    <dxf>
      <font>
        <b/>
      </font>
      <alignment horizontal="center" vertical="center" textRotation="0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top style="double">
          <color indexed="64"/>
        </top>
      </border>
    </dxf>
    <dxf>
      <font>
        <b/>
        <family val="2"/>
      </font>
      <alignment horizontal="center" vertical="center" textRotation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border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b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family val="2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border>
        <top style="double">
          <color indexed="64"/>
        </top>
      </border>
    </dxf>
    <dxf>
      <font>
        <b/>
        <family val="2"/>
      </font>
      <alignment horizontal="center" vertical="center" textRotation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border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 style="double">
          <color indexed="64"/>
        </horizontal>
      </border>
    </dxf>
    <dxf>
      <border>
        <top style="double">
          <color indexed="64"/>
        </top>
      </border>
    </dxf>
    <dxf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rgb="FF000000"/>
        </left>
        <right style="thick">
          <color rgb="FF000000"/>
        </right>
        <top style="thick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ck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top style="thick">
          <color rgb="FF000000"/>
        </top>
      </border>
    </dxf>
    <dxf>
      <border diagonalUp="0" diagonalDown="0">
        <left style="thick">
          <color rgb="FF000000"/>
        </left>
        <right style="thick">
          <color rgb="FF000000"/>
        </right>
        <top/>
        <bottom/>
        <vertical style="thick">
          <color rgb="FF000000"/>
        </vertical>
        <horizontal style="thick">
          <color rgb="FF000000"/>
        </horizontal>
      </border>
    </dxf>
    <dxf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>
        <bottom style="thick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472C4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 style="thick">
          <color indexed="64"/>
        </vertical>
        <horizontal style="thick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/>
        <bottom/>
      </border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/>
        <bottom/>
      </border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ck">
          <color indexed="64"/>
        </right>
        <top style="thick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border>
        <top style="thick">
          <color indexed="64"/>
        </top>
      </border>
    </dxf>
    <dxf>
      <alignment horizontal="center" vertical="center" textRotation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 style="thick">
          <color indexed="64"/>
        </vertical>
        <horizontal style="thick">
          <color indexed="64"/>
        </horizontal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/>
        <bottom style="double">
          <color indexed="64"/>
        </bottom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ck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top style="thick">
          <color indexed="64"/>
        </top>
      </border>
    </dxf>
    <dxf>
      <border diagonalUp="0" diagonalDown="0">
        <left style="thick">
          <color indexed="64"/>
        </left>
        <right style="thick">
          <color indexed="64"/>
        </right>
        <top/>
        <bottom/>
        <vertical style="thick">
          <color indexed="64"/>
        </vertical>
        <horizontal style="thick">
          <color indexed="64"/>
        </horizontal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border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472C4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 style="thick">
          <color indexed="64"/>
        </vertical>
        <horizontal style="thick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top style="double">
          <color indexed="64"/>
        </top>
      </border>
    </dxf>
    <dxf>
      <font>
        <b/>
        <strike val="0"/>
        <outline val="0"/>
        <shadow val="0"/>
        <u val="none"/>
        <vertAlign val="baseline"/>
        <sz val="11"/>
        <color theme="1"/>
        <family val="2"/>
      </font>
      <alignment horizontal="center" vertical="center" textRotation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/>
      </font>
      <numFmt numFmtId="4" formatCode="#,##0.00"/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/>
        <bottom style="medium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ck">
          <color indexed="64"/>
        </right>
        <top style="thick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double">
          <color indexed="64"/>
        </top>
        <bottom style="double">
          <color indexed="64"/>
        </bottom>
      </border>
    </dxf>
    <dxf>
      <border>
        <top style="thick">
          <color rgb="FF000000"/>
        </top>
      </border>
    </dxf>
    <dxf>
      <alignment horizontal="center" vertical="center" textRotation="0" indent="0" justifyLastLine="0" shrinkToFit="0" readingOrder="0"/>
      <border diagonalUp="0" diagonalDown="0">
        <left style="thick">
          <color rgb="FF000000"/>
        </left>
        <right style="thick">
          <color rgb="FF000000"/>
        </right>
        <top/>
        <bottom/>
        <vertical style="thick">
          <color rgb="FF000000"/>
        </vertical>
        <horizontal style="thick">
          <color rgb="FF000000"/>
        </horizontal>
      </border>
    </dxf>
    <dxf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rgb="FF000000"/>
        </left>
        <right style="thick">
          <color rgb="FF000000"/>
        </right>
        <top style="thick">
          <color rgb="FF000000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</font>
      <border diagonalUp="0" diagonalDown="0">
        <left/>
        <right/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</font>
      <border diagonalUp="0" diagonalDown="0">
        <left/>
        <right/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</font>
      <border diagonalUp="0" diagonalDown="0">
        <left/>
        <right/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</font>
      <border diagonalUp="0" diagonalDown="0">
        <left/>
        <right/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</font>
      <border diagonalUp="0" diagonalDown="0">
        <left/>
        <right/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 style="medium">
          <color indexed="64"/>
        </bottom>
      </border>
    </dxf>
    <dxf>
      <font>
        <b/>
      </font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ck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border>
        <top style="thick">
          <color rgb="FF000000"/>
        </top>
      </border>
    </dxf>
    <dxf>
      <border diagonalUp="0" diagonalDown="0">
        <left style="thick">
          <color rgb="FF000000"/>
        </left>
        <right style="thick">
          <color rgb="FF000000"/>
        </right>
        <top/>
        <bottom/>
        <vertical style="thick">
          <color rgb="FF000000"/>
        </vertical>
        <horizontal style="thick">
          <color rgb="FF000000"/>
        </horizontal>
      </border>
    </dxf>
    <dxf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>
        <bottom style="thick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472C4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 style="thick">
          <color indexed="64"/>
        </vertical>
        <horizontal style="thick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top style="double">
          <color indexed="64"/>
        </top>
      </border>
    </dxf>
    <dxf>
      <font>
        <b/>
        <family val="2"/>
      </font>
      <alignment horizontal="center" vertical="center" textRotation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border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top style="double">
          <color indexed="64"/>
        </top>
      </border>
    </dxf>
    <dxf>
      <font>
        <b/>
        <family val="2"/>
      </font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top style="double">
          <color indexed="64"/>
        </top>
      </border>
    </dxf>
    <dxf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</dxf>
    <dxf>
      <border>
        <bottom style="double">
          <color indexed="64"/>
        </bottom>
      </border>
    </dxf>
    <dxf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EE25A6F-7E16-4270-A945-1621AC011EAB}" name="Table12" displayName="Table12" ref="A4:G6" totalsRowCount="1" headerRowDxfId="623" dataDxfId="621" totalsRowDxfId="619" headerRowBorderDxfId="622" tableBorderDxfId="620" totalsRowBorderDxfId="618">
  <autoFilter ref="A4:G5" xr:uid="{7EE25A6F-7E16-4270-A945-1621AC011EAB}"/>
  <tableColumns count="7">
    <tableColumn id="1" xr3:uid="{9A7F1941-7E32-4E63-9BE4-874B14D2BBA0}" name="No." dataDxfId="617" totalsRowDxfId="616"/>
    <tableColumn id="2" xr3:uid="{8B7EF84E-65BF-4226-99F6-025732DA110D}" name="Unit Name" totalsRowFunction="count" dataDxfId="615" totalsRowDxfId="614"/>
    <tableColumn id="3" xr3:uid="{4A5F1271-DB11-43BA-9199-2285670341C1}" name="Type" dataDxfId="613" totalsRowDxfId="612"/>
    <tableColumn id="4" xr3:uid="{741638D3-760F-4F02-91DF-0DD726907BAC}" name="Land Area" dataDxfId="611" totalsRowDxfId="610"/>
    <tableColumn id="5" xr3:uid="{D7A89D8D-8A81-4032-9440-3AAF6F355AD3}" name="Design Area" dataDxfId="609" totalsRowDxfId="608"/>
    <tableColumn id="6" xr3:uid="{3679E6DB-3678-43F9-B1C6-3C7B1CBB899A}" name="Roof Terrace Area" dataDxfId="607" totalsRowDxfId="606"/>
    <tableColumn id="8" xr3:uid="{4AB6BE09-280E-4457-8885-2847CCA27B50}" name="Total Unit Price" totalsRowFunction="sum" dataDxfId="605" totalsRowDxfId="60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53F4F4-879B-4AB3-92BF-89BA4B15F139}" name="Table3" displayName="Table3" ref="A4:H7" totalsRowCount="1" headerRowDxfId="603" dataDxfId="601" totalsRowDxfId="599" headerRowBorderDxfId="602" tableBorderDxfId="600" totalsRowBorderDxfId="598">
  <autoFilter ref="A4:H6" xr:uid="{CB53F4F4-879B-4AB3-92BF-89BA4B15F139}"/>
  <tableColumns count="8">
    <tableColumn id="1" xr3:uid="{5DF8C9D3-43A8-4B9E-AB80-43EAC5514730}" name="No." dataDxfId="597" totalsRowDxfId="596"/>
    <tableColumn id="3" xr3:uid="{D1E435F4-6FA9-40AE-B8D4-DF8D768228AF}" name="Unit" totalsRowFunction="count" dataDxfId="595" totalsRowDxfId="594"/>
    <tableColumn id="4" xr3:uid="{C70FBA98-21E5-47A3-AAA1-2E6F02C588A4}" name="Type" dataDxfId="593" totalsRowDxfId="592"/>
    <tableColumn id="5" xr3:uid="{85E0229A-1F05-4AF2-A662-FA110CCFF088}" name="Land Area" dataDxfId="591" totalsRowDxfId="590"/>
    <tableColumn id="6" xr3:uid="{1709AD8C-4982-4A28-B1E0-18BB1BD04099}" name="Design Area" dataDxfId="589" totalsRowDxfId="588"/>
    <tableColumn id="7" xr3:uid="{375BD040-F6EF-4559-94CE-6513F495130D}" name="Roof Terrace Area" dataDxfId="587" totalsRowDxfId="586"/>
    <tableColumn id="9" xr3:uid="{E08DC4CA-44A7-4989-B76B-A7040D867076}" name="Basement Area" dataDxfId="585" totalsRowDxfId="584"/>
    <tableColumn id="10" xr3:uid="{4FEF89C9-6E04-425A-A9DD-3A76C36B021E}" name="Total Unit Price (4 years)" totalsRowFunction="custom" dataDxfId="583" totalsRowDxfId="582">
      <totalsRowFormula>SUM(H5:H6)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739E26-D1F1-4ADE-BAF9-8D105615F955}" name="Table96" displayName="Table96" ref="A3:I13" totalsRowCount="1" headerRowDxfId="581" dataDxfId="579" totalsRowDxfId="577" headerRowBorderDxfId="580" tableBorderDxfId="578" totalsRowBorderDxfId="576">
  <tableColumns count="9">
    <tableColumn id="1" xr3:uid="{47048EAC-5DB7-4AD9-B718-0EAFE1615035}" name="#" dataDxfId="575" totalsRowDxfId="574"/>
    <tableColumn id="2" xr3:uid="{3951A5C9-E91A-4A7B-BE1C-1BC4E1D91BD2}" name="Unit Name" totalsRowFunction="count" dataDxfId="573" totalsRowDxfId="572"/>
    <tableColumn id="4" xr3:uid="{330CD4E4-0761-47C6-8B87-347EA0A74C9D}" name="Unit Type" dataDxfId="571" totalsRowDxfId="570"/>
    <tableColumn id="6" xr3:uid="{34CE4DB9-8AE7-44C0-9234-5CE2D4D3D750}" name="Floor" dataDxfId="569" totalsRowDxfId="568"/>
    <tableColumn id="7" xr3:uid="{4BC5E2C7-88FE-4CC1-AEC1-B352BEAD4174}" name="Design Area" dataDxfId="567" totalsRowDxfId="566"/>
    <tableColumn id="8" xr3:uid="{7B9C94F8-2D05-4B10-99A1-8423A573FA15}" name="Roof Terrace Area" dataDxfId="565" totalsRowDxfId="564"/>
    <tableColumn id="9" xr3:uid="{CEE701F0-6B95-418E-B9A1-9C051A300BDE}" name="Garden Area" dataDxfId="563" totalsRowDxfId="562"/>
    <tableColumn id="3" xr3:uid="{9E275722-3333-46D2-AE78-1C1A2852EE93}" name="Total Unit Price" totalsRowFunction="sum" dataDxfId="561" totalsRowDxfId="560"/>
    <tableColumn id="10" xr3:uid="{B5EFCE70-C57C-4DB3-8F4E-0BBCAC49B950}" name="10% DP" dataDxfId="559" totalsRowDxfId="558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4EDF3B-D1B9-4D8C-B895-5B90E21A4E72}" name="Table77" displayName="Table77" ref="A5:J30" totalsRowShown="0" headerRowDxfId="557" dataDxfId="555" totalsRowDxfId="553" headerRowBorderDxfId="556" tableBorderDxfId="554" totalsRowBorderDxfId="552">
  <tableColumns count="10">
    <tableColumn id="1" xr3:uid="{7A568657-6F64-407B-8B95-DCA3EC6AE83E}" name="#" dataDxfId="551" totalsRowDxfId="550">
      <calculatedColumnFormula>ROW()-5</calculatedColumnFormula>
    </tableColumn>
    <tableColumn id="2" xr3:uid="{F14E576D-A298-444A-8D63-7B00B9A92598}" name="UNIT CODE" dataDxfId="549" totalsRowDxfId="548"/>
    <tableColumn id="3" xr3:uid="{DD8B7C14-0392-4B78-97FE-B20D7402DA80}" name="ZONE" dataDxfId="547" totalsRowDxfId="546"/>
    <tableColumn id="4" xr3:uid="{BCA76990-2276-4847-BF46-D295F6CC5882}" name="UNIT TYPE" dataDxfId="545" totalsRowDxfId="544"/>
    <tableColumn id="5" xr3:uid="{EDBEA16D-9F8D-4582-B52A-E2E8BE81EF08}" name="DESIGN" dataDxfId="543" totalsRowDxfId="542"/>
    <tableColumn id="6" xr3:uid="{7B517488-7AF8-4288-94FE-7E06EEFE9364}" name="GROSS BUA" dataDxfId="541" totalsRowDxfId="540"/>
    <tableColumn id="7" xr3:uid="{F472E8CB-411C-469A-B75D-D84EE6948737}" name="LAND AREA" dataDxfId="539" totalsRowDxfId="538"/>
    <tableColumn id="9" xr3:uid="{A7854C8C-AC1D-401F-BD54-F9321F1AB96A}" name="ROOF TERRACE" dataDxfId="537" totalsRowDxfId="536"/>
    <tableColumn id="8" xr3:uid="{62B3071F-5916-4B0B-91A3-65774240EEAE}" name="Final Price" dataDxfId="535" totalsRowDxfId="534"/>
    <tableColumn id="10" xr3:uid="{05A2C25C-9EDA-419D-BE9B-583C60E0E2A1}" name="5% DP" dataDxfId="533" totalsRowDxfId="5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DAD7521-7D71-4B7B-B375-085D78C1D801}" name="Table214" displayName="Table214" ref="A6:N25" totalsRowShown="0" headerRowDxfId="531" dataDxfId="529" totalsRowDxfId="527" headerRowBorderDxfId="530" tableBorderDxfId="528" totalsRowBorderDxfId="526">
  <tableColumns count="14">
    <tableColumn id="1" xr3:uid="{E6DA9CE4-09D6-4172-91A2-E85129EB2B12}" name="#" dataDxfId="525" totalsRowDxfId="524">
      <calculatedColumnFormula>ROW()-6</calculatedColumnFormula>
    </tableColumn>
    <tableColumn id="3" xr3:uid="{BB100CED-70AA-4BD8-8819-CE188F7548C7}" name="UNIT CODE" dataDxfId="523" totalsRowDxfId="522"/>
    <tableColumn id="4" xr3:uid="{C7FF36DC-9467-4A94-9453-2096E18073F5}" name="BUILDING #" dataDxfId="521" totalsRowDxfId="520"/>
    <tableColumn id="5" xr3:uid="{8BC578DD-8B8B-4B93-B98B-5B29D651CFB0}" name="FLOOR" dataDxfId="519" totalsRowDxfId="518"/>
    <tableColumn id="6" xr3:uid="{2E42F167-AEFE-40F3-A2F1-67FEAB5B60DA}" name="UNIT TYPE" dataDxfId="517" totalsRowDxfId="516"/>
    <tableColumn id="7" xr3:uid="{BAB75404-F153-4A85-AD63-A6016BE70DA1}" name="GROSS BUA" dataDxfId="515" totalsRowDxfId="514"/>
    <tableColumn id="8" xr3:uid="{D638A561-9298-47DA-9995-03D03AD7CE3E}" name="GARDEN" dataDxfId="513" totalsRowDxfId="512"/>
    <tableColumn id="2" xr3:uid="{A7387743-1BD4-4418-8FEA-6677F233B6F1}" name="Roof Terrace Area" dataDxfId="511" totalsRowDxfId="510"/>
    <tableColumn id="9" xr3:uid="{D14CEC88-A4DB-46C8-A074-327CE0533FB4}" name="TOTAL PRICE" dataDxfId="509" totalsRowDxfId="508"/>
    <tableColumn id="10" xr3:uid="{D1872BBD-619D-4AB9-ADC7-7EA2D5658ADA}" name="5% Reservation" dataDxfId="507" totalsRowDxfId="506"/>
    <tableColumn id="11" xr3:uid="{A9DF446E-7124-4F2F-8973-96D848BC003A}" name="TOTAL PRICE 2" dataDxfId="505" totalsRowDxfId="504"/>
    <tableColumn id="12" xr3:uid="{81B6D86B-EC32-475C-8D9B-06B5127EBC76}" name="5% Reservation 2" dataDxfId="503" totalsRowDxfId="502"/>
    <tableColumn id="13" xr3:uid="{0CE8E3EF-0DD1-4363-9515-6B65066ACA7C}" name="TOTAL PRICE 3" dataDxfId="501" totalsRowDxfId="500"/>
    <tableColumn id="14" xr3:uid="{0A746641-3617-45AD-884F-D78E71ABD2FF}" name="5% Reservation 3" dataDxfId="499" totalsRowDxfId="49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C11212-0EDA-49AE-98AD-88FECB1788F5}" name="Table1" displayName="Table1" ref="A4:J56" totalsRowShown="0" headerRowDxfId="497" dataDxfId="495" totalsRowDxfId="493" headerRowBorderDxfId="496" tableBorderDxfId="494" totalsRowBorderDxfId="492">
  <tableColumns count="10">
    <tableColumn id="1" xr3:uid="{CEBB8060-09C4-432F-B79F-765BAB3640E7}" name="#" dataDxfId="491" totalsRowDxfId="490">
      <calculatedColumnFormula>ROW()-4</calculatedColumnFormula>
    </tableColumn>
    <tableColumn id="3" xr3:uid="{CA2558F5-0468-4051-8D8B-F50B0CDBA52E}" name="Unit Code" dataDxfId="489" totalsRowDxfId="488"/>
    <tableColumn id="5" xr3:uid="{8CFE7C52-5E10-43A7-A374-BA8039136654}" name="Design Type" dataDxfId="487" totalsRowDxfId="486"/>
    <tableColumn id="6" xr3:uid="{EE8CC5E5-6DE8-408E-8762-75386F9A7348}" name="Unit Type" dataDxfId="485" totalsRowDxfId="484"/>
    <tableColumn id="7" xr3:uid="{81D8A25F-1217-418D-A2AE-B168E13FA7C0}" name="Floor" dataDxfId="483" totalsRowDxfId="482"/>
    <tableColumn id="8" xr3:uid="{B1F31950-9FF3-4A47-8DE7-3DB28BD4AF9D}" name="Design Area" dataDxfId="481" totalsRowDxfId="480"/>
    <tableColumn id="9" xr3:uid="{1B362D40-4A5E-46C1-B274-171007B3114D}" name="Roof Terrace Area" dataDxfId="479" totalsRowDxfId="478"/>
    <tableColumn id="10" xr3:uid="{C82C3877-4615-4371-AE6D-A5530C98F9DD}" name="Total Garden Area" dataDxfId="477" totalsRowDxfId="476"/>
    <tableColumn id="11" xr3:uid="{FDE8D35F-874E-4C4A-87CE-894800C335B0}" name="Total Unit Price" dataDxfId="475" totalsRowDxfId="474"/>
    <tableColumn id="2" xr3:uid="{24B8A320-830E-4E4D-B53B-5B26C1D78A4B}" name="5% DP" dataDxfId="473" totalsRowDxfId="47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324D73-518E-414C-BCB5-1C73257B6D49}" name="Table7" displayName="Table7" ref="A6:M53" totalsRowShown="0" headerRowDxfId="471" dataDxfId="469" totalsRowDxfId="467" headerRowBorderDxfId="470" tableBorderDxfId="468" totalsRowBorderDxfId="466">
  <tableColumns count="13">
    <tableColumn id="1" xr3:uid="{0D82B537-7071-4ED3-8F63-778B62BC36BE}" name="#" dataDxfId="465" totalsRowDxfId="464">
      <calculatedColumnFormula>ROW()-6</calculatedColumnFormula>
    </tableColumn>
    <tableColumn id="2" xr3:uid="{F7D7E8FF-0D28-41B4-82A1-A0BC758D5531}" name="UNIT CODE" dataDxfId="463" totalsRowDxfId="462"/>
    <tableColumn id="3" xr3:uid="{8F09B207-7766-47A0-BD64-9763932699AF}" name="BUILDING NUMBER" dataDxfId="461" totalsRowDxfId="460"/>
    <tableColumn id="4" xr3:uid="{97E23869-7AE7-4D67-9F71-DEA01B58EECC}" name="FLOOR" dataDxfId="459" totalsRowDxfId="458"/>
    <tableColumn id="5" xr3:uid="{DBEAA2FE-00F6-49E5-BF98-34D366E6900A}" name="GROSS AREA" dataDxfId="457" totalsRowDxfId="456"/>
    <tableColumn id="6" xr3:uid="{8A80AD8D-8C96-48D1-9C34-B69CA597BBB0}" name="OFFICE TERRACE" dataDxfId="455" totalsRowDxfId="454"/>
    <tableColumn id="7" xr3:uid="{0C324CF3-6D9E-484D-88BF-B6397B912C44}" name="NO. OF DEDICATED PARKING" dataDxfId="453" totalsRowDxfId="452"/>
    <tableColumn id="9" xr3:uid="{5746F248-0666-46B0-B2EF-4A03104F939F}" name="Price" totalsRowDxfId="451"/>
    <tableColumn id="8" xr3:uid="{C5993AD1-1386-48B2-B92E-6F3C641CC503}" name="10% DP" dataDxfId="450" totalsRowDxfId="449"/>
    <tableColumn id="10" xr3:uid="{508B9DEC-ACBC-4988-B0BB-F22C518891D5}" name="Price 2" dataDxfId="448" totalsRowDxfId="447"/>
    <tableColumn id="11" xr3:uid="{985D9ECA-A7BC-4045-A028-AEE23D3C7536}" name="10% DP2" dataDxfId="446" totalsRowDxfId="445"/>
    <tableColumn id="12" xr3:uid="{32BEED85-CFF8-4EA3-BF5B-D9892CED4792}" name="Price 3" dataDxfId="444"/>
    <tableColumn id="13" xr3:uid="{1FCFB8D2-83D4-4DFA-A4F1-9DC87FD03F85}" name="10% DP3" dataDxfId="44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CB6189-B13B-4E56-A6E3-69D751384AE0}" name="Table2" displayName="Table2" ref="A4:I7" totalsRowShown="0" headerRowDxfId="442" dataDxfId="440" totalsRowDxfId="438" headerRowBorderDxfId="441" tableBorderDxfId="439" totalsRowBorderDxfId="437">
  <tableColumns count="9">
    <tableColumn id="1" xr3:uid="{624864AB-3234-4F96-A0B9-C0F29472374E}" name="#" dataDxfId="436" totalsRowDxfId="435"/>
    <tableColumn id="3" xr3:uid="{6C4A5FC4-3C2D-4D94-AD39-A0BF06F721EB}" name="Unit Name" dataDxfId="434" totalsRowDxfId="433"/>
    <tableColumn id="4" xr3:uid="{07D1330A-8DE7-4B6C-80EC-B0E29CACC090}" name="Type" dataDxfId="432" totalsRowDxfId="431"/>
    <tableColumn id="5" xr3:uid="{B07DF62C-6894-4E61-B924-A64FEB575542}" name="Land Area" dataDxfId="430" totalsRowDxfId="429"/>
    <tableColumn id="6" xr3:uid="{71846CB9-F1CE-4685-AB8B-B3041D632EDD}" name="Design Area" dataDxfId="428" totalsRowDxfId="427"/>
    <tableColumn id="7" xr3:uid="{7DBDA429-E589-4191-A343-DC475C53BD60}" name="Roof Terrace Area" dataDxfId="426" totalsRowDxfId="425"/>
    <tableColumn id="8" xr3:uid="{0B88B7CC-FB8A-49BF-BA81-583E33B57573}" name="Basement Area" dataDxfId="424" totalsRowDxfId="423"/>
    <tableColumn id="9" xr3:uid="{41EC1180-B150-4580-914D-74222A11D74C}" name="Total Unit Price" dataDxfId="422" totalsRowDxfId="421"/>
    <tableColumn id="10" xr3:uid="{DF2529C7-F82D-4EAB-9A92-C243177C655B}" name="5% Reservation" dataDxfId="420" totalsRowDxfId="41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BBD1188-D201-402C-A8A8-831331C92B9E}" name="Table711" displayName="Table711" ref="A4:J6" totalsRowCount="1" headerRowDxfId="418" dataDxfId="416" totalsRowDxfId="414" headerRowBorderDxfId="417" tableBorderDxfId="415" totalsRowBorderDxfId="413">
  <tableColumns count="10">
    <tableColumn id="1" xr3:uid="{1441BB29-AD17-40C6-A292-8E63EC30EED0}" name="#" dataDxfId="412" totalsRowDxfId="411">
      <calculatedColumnFormula>ROW()-4</calculatedColumnFormula>
    </tableColumn>
    <tableColumn id="2" xr3:uid="{8CB30E62-34E5-410B-AB07-4760E40ADAB6}" name="UNIT CODE" totalsRowLabel="0" dataDxfId="410" totalsRowDxfId="409"/>
    <tableColumn id="3" xr3:uid="{1DFA2745-8FEC-4518-B30C-9E16811F13FB}" name="BUILDING" dataDxfId="408" totalsRowDxfId="407"/>
    <tableColumn id="4" xr3:uid="{E1F30B47-541C-46AC-954B-DB223D7FC7D5}" name="Unit type" dataDxfId="406" totalsRowDxfId="405"/>
    <tableColumn id="5" xr3:uid="{22BECADC-5586-45E9-9750-793485D00513}" name="GROSS AREA" dataDxfId="404" totalsRowDxfId="403"/>
    <tableColumn id="6" xr3:uid="{130803E2-40D2-4811-86CC-7CB580ABE666}" name="OFFICE TERRACE" dataDxfId="402" totalsRowDxfId="401"/>
    <tableColumn id="7" xr3:uid="{ABBF7A65-9FF6-4DE9-9096-0C2343F2B18D}" name="PRICE FF" totalsRowLabel=" -   " dataDxfId="400" totalsRowDxfId="399"/>
    <tableColumn id="9" xr3:uid="{A3399CF0-D961-422A-B79E-9EF6312F0502}" name="10% DP" dataDxfId="398" totalsRowDxfId="397">
      <calculatedColumnFormula>Table711[[#This Row],[PRICE FF]]*10%</calculatedColumnFormula>
    </tableColumn>
    <tableColumn id="8" xr3:uid="{BBA237A2-DF15-4BE3-AB9C-CFACB2041DD4}" name="PRICE FR" dataDxfId="396" totalsRowDxfId="395"/>
    <tableColumn id="10" xr3:uid="{4CECC430-33A6-4123-AAF7-841B380D1730}" name="10% DP2" dataDxfId="394" totalsRowDxfId="393">
      <calculatedColumnFormula>Table711[[#This Row],[PRICE FR]]*10%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173E93-F1A9-4612-8E58-B15FE4271E46}" name="Table4" displayName="Table4" ref="A3:G26" totalsRowShown="0" headerRowDxfId="392" dataDxfId="390" totalsRowDxfId="388" headerRowBorderDxfId="391" tableBorderDxfId="389" totalsRowBorderDxfId="387">
  <tableColumns count="7">
    <tableColumn id="1" xr3:uid="{2064801E-80D0-49DA-B408-DA6A11A52F30}" name="#" dataDxfId="386" totalsRowDxfId="385">
      <calculatedColumnFormula>ROW()-3</calculatedColumnFormula>
    </tableColumn>
    <tableColumn id="2" xr3:uid="{A69DBA55-48D7-4932-8DA2-B4B26F0CE8CE}" name="Unit Name" dataDxfId="384" totalsRowDxfId="383"/>
    <tableColumn id="3" xr3:uid="{784A2378-D87F-4DB7-A67F-08DE2D71DE70}" name="Unit Type" dataDxfId="382" totalsRowDxfId="381"/>
    <tableColumn id="4" xr3:uid="{511F9567-3EB9-4B0C-8A87-20AA04FCED0B}" name="Design Area" dataDxfId="380" totalsRowDxfId="379"/>
    <tableColumn id="5" xr3:uid="{05514D74-4C48-4FD5-B1EC-F74E77DB327E}" name="Garden Area" dataDxfId="378" totalsRowDxfId="377"/>
    <tableColumn id="6" xr3:uid="{E2685224-CF17-459E-9796-CCCDA927F46D}" name="Total Unit Price " dataDxfId="376"/>
    <tableColumn id="7" xr3:uid="{224A829B-7A8D-485F-96F4-64DE5FA40788}" name="10%" dataDxfId="37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E0629B8-FCB8-496D-B7C9-E889874AEBE0}" name="Table9" displayName="Table9" ref="A3:J30" totalsRowShown="0" headerRowDxfId="374" dataDxfId="372" totalsRowDxfId="370" headerRowBorderDxfId="373" tableBorderDxfId="371" totalsRowBorderDxfId="369">
  <tableColumns count="10">
    <tableColumn id="1" xr3:uid="{83F1BB01-4803-42BD-AAC2-0CF93E25FADC}" name="#" dataDxfId="368" totalsRowDxfId="367">
      <calculatedColumnFormula>ROW()-3</calculatedColumnFormula>
    </tableColumn>
    <tableColumn id="2" xr3:uid="{AEB4F76F-C0A2-4BFC-932E-428C2734E167}" name="UNIT CODE" dataDxfId="366" totalsRowDxfId="365"/>
    <tableColumn id="4" xr3:uid="{3B618E0D-1709-4939-9219-503A25A0C398}" name="Design Type" dataDxfId="364" totalsRowDxfId="363"/>
    <tableColumn id="6" xr3:uid="{88410235-9BC1-46FA-8129-9729F558F4DD}" name="FLOOR" dataDxfId="362" totalsRowDxfId="361"/>
    <tableColumn id="7" xr3:uid="{F0A8129A-E8FE-47C0-B325-176AE9844544}" name="NUMBER OF BEDS" dataDxfId="360" totalsRowDxfId="359"/>
    <tableColumn id="8" xr3:uid="{06AC0864-1ADB-4499-8DCF-C99AD21285BC}" name="GROSS BUA" dataDxfId="358" totalsRowDxfId="357"/>
    <tableColumn id="9" xr3:uid="{BD79D641-91A5-47F2-9218-06BDC0A07C0F}" name="Garden Area" dataDxfId="356" totalsRowDxfId="355"/>
    <tableColumn id="3" xr3:uid="{52D232F9-93CF-4736-B6EF-219C03E662B3}" name="OPEN ROOF TERRACE" dataDxfId="354" totalsRowDxfId="353"/>
    <tableColumn id="10" xr3:uid="{9888D80A-1A62-4A8E-9682-B461118583D7}" name="Unit Price" dataDxfId="352" totalsRowDxfId="351"/>
    <tableColumn id="5" xr3:uid="{F988487A-D7B2-48FB-8E89-F2A99BDC7542}" name="DP 5%" dataDxfId="350" totalsRowDxfId="349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865BAEE-1B97-4FC1-BD68-B884AFC4DE3B}" name="Table11" displayName="Table11" ref="A4:G5" totalsRowShown="0" headerRowDxfId="348" dataDxfId="346" headerRowBorderDxfId="347" tableBorderDxfId="345" totalsRowBorderDxfId="344">
  <autoFilter ref="A4:G5" xr:uid="{C865BAEE-1B97-4FC1-BD68-B884AFC4DE3B}"/>
  <tableColumns count="7">
    <tableColumn id="1" xr3:uid="{7145086A-8494-4BCB-84C3-5EB7DD54F770}" name="#" dataDxfId="343"/>
    <tableColumn id="2" xr3:uid="{E7367BFB-8322-4D05-942F-DCE8B43D6942}" name="Unit Code" dataDxfId="342"/>
    <tableColumn id="3" xr3:uid="{2F592F4F-46D3-4DD1-96E3-7353D778FEF2}" name="Floor" dataDxfId="341"/>
    <tableColumn id="4" xr3:uid="{80804CA9-B437-42C1-BD76-B4E4617431F0}" name="No. of Bedrooms" dataDxfId="340"/>
    <tableColumn id="5" xr3:uid="{320C5C43-5668-47CB-A615-E710496BACE8}" name="Garden Area" dataDxfId="339"/>
    <tableColumn id="6" xr3:uid="{9A837C60-1155-4C87-A0DD-B0DEFC2382BA}" name="Total Area" dataDxfId="338"/>
    <tableColumn id="7" xr3:uid="{B397B0E7-866F-4D9E-8D88-1C9E1737E5C6}" name="Total Price" dataDxfId="33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C803565-295F-48AC-87F2-D41E4A4D7792}" name="Table8" displayName="Table8" ref="A4:F10" totalsRowCount="1" headerRowDxfId="336" dataDxfId="334" totalsRowDxfId="332" headerRowBorderDxfId="335" tableBorderDxfId="333" totalsRowBorderDxfId="331">
  <autoFilter ref="A4:F9" xr:uid="{BC803565-295F-48AC-87F2-D41E4A4D7792}"/>
  <tableColumns count="6">
    <tableColumn id="1" xr3:uid="{C9E49B61-3566-4D0C-9543-5C01F4E7923E}" name="#" dataDxfId="330" totalsRowDxfId="329"/>
    <tableColumn id="2" xr3:uid="{01AA0C7D-C28C-4CE8-BA96-FFF75683CCD5}" name="Unit Code" totalsRowFunction="count" dataDxfId="328" totalsRowDxfId="327"/>
    <tableColumn id="4" xr3:uid="{FBD2AE54-6774-48B3-8AE9-2228012B59DA}" name="Land Area" dataDxfId="326" totalsRowDxfId="325"/>
    <tableColumn id="5" xr3:uid="{B82499A9-60C5-4473-ADBA-E4C3C1120322}" name="BUA" dataDxfId="324" totalsRowDxfId="323"/>
    <tableColumn id="6" xr3:uid="{9B840D08-6D78-413B-AA94-92F5178AF791}" name="Roof" dataDxfId="322" totalsRowDxfId="321"/>
    <tableColumn id="7" xr3:uid="{D13A1036-FBE8-4FEC-BEAB-76FB1EE4F177}" name="Total Price" totalsRowFunction="sum" dataDxfId="320" totalsRowDxfId="3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00461-F6CE-4BC9-B9C7-8ED6606BF337}">
  <dimension ref="A1:L281"/>
  <sheetViews>
    <sheetView view="pageBreakPreview" topLeftCell="A15" zoomScale="92" zoomScaleNormal="83" zoomScaleSheetLayoutView="115" workbookViewId="0">
      <selection activeCell="A37" sqref="A37:XFD37"/>
    </sheetView>
  </sheetViews>
  <sheetFormatPr defaultRowHeight="14.4" x14ac:dyDescent="0.3"/>
  <cols>
    <col min="1" max="1" width="6.6640625" customWidth="1"/>
    <col min="2" max="2" width="19.44140625" customWidth="1"/>
    <col min="4" max="4" width="10.33203125" customWidth="1"/>
    <col min="5" max="5" width="14.77734375" customWidth="1"/>
    <col min="6" max="6" width="13.109375" customWidth="1"/>
    <col min="7" max="7" width="20.5546875" customWidth="1"/>
    <col min="8" max="8" width="9.6640625" customWidth="1"/>
    <col min="9" max="9" width="20.6640625" customWidth="1"/>
    <col min="10" max="10" width="13.77734375" customWidth="1"/>
    <col min="11" max="11" width="23.44140625" customWidth="1"/>
    <col min="12" max="12" width="19.44140625" customWidth="1"/>
  </cols>
  <sheetData>
    <row r="1" spans="1:12" ht="12.6" customHeight="1" x14ac:dyDescent="0.3">
      <c r="A1" s="240" t="s">
        <v>197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 ht="12.6" customHeight="1" x14ac:dyDescent="0.3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</row>
    <row r="3" spans="1:12" ht="12.6" customHeight="1" x14ac:dyDescent="0.3">
      <c r="A3" s="242"/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</row>
    <row r="4" spans="1:12" ht="12.6" customHeight="1" thickBot="1" x14ac:dyDescent="0.35">
      <c r="A4" s="244"/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</row>
    <row r="5" spans="1:12" ht="13.2" customHeight="1" thickBot="1" x14ac:dyDescent="0.35">
      <c r="A5" s="248"/>
      <c r="B5" s="248"/>
      <c r="C5" s="248"/>
      <c r="D5" s="248"/>
      <c r="E5" s="248"/>
      <c r="F5" s="248"/>
      <c r="G5" s="248"/>
      <c r="H5" s="248"/>
      <c r="I5" s="248"/>
      <c r="J5" s="248"/>
      <c r="K5" s="148"/>
      <c r="L5" s="148"/>
    </row>
    <row r="6" spans="1:12" ht="21" customHeight="1" thickTop="1" thickBot="1" x14ac:dyDescent="0.35">
      <c r="A6" s="249"/>
      <c r="B6" s="249"/>
      <c r="C6" s="249"/>
      <c r="D6" s="249"/>
      <c r="E6" s="249"/>
      <c r="F6" s="249"/>
      <c r="G6" s="249"/>
      <c r="H6" s="249"/>
      <c r="I6" s="249"/>
      <c r="J6" s="249"/>
      <c r="K6" s="246" t="s">
        <v>198</v>
      </c>
      <c r="L6" s="247"/>
    </row>
    <row r="7" spans="1:12" ht="20.399999999999999" x14ac:dyDescent="0.3">
      <c r="A7" s="149" t="s">
        <v>5</v>
      </c>
      <c r="B7" s="150" t="s">
        <v>199</v>
      </c>
      <c r="C7" s="150" t="s">
        <v>200</v>
      </c>
      <c r="D7" s="150" t="s">
        <v>201</v>
      </c>
      <c r="E7" s="150" t="s">
        <v>65</v>
      </c>
      <c r="F7" s="150" t="s">
        <v>13</v>
      </c>
      <c r="G7" s="150" t="s">
        <v>202</v>
      </c>
      <c r="H7" s="150" t="s">
        <v>47</v>
      </c>
      <c r="I7" s="150" t="s">
        <v>203</v>
      </c>
      <c r="J7" s="150" t="s">
        <v>67</v>
      </c>
      <c r="K7" s="159" t="s">
        <v>204</v>
      </c>
      <c r="L7" s="160">
        <v>0.05</v>
      </c>
    </row>
    <row r="8" spans="1:12" x14ac:dyDescent="0.3">
      <c r="A8" s="151">
        <f t="shared" ref="A8:A14" si="0">ROW()-7</f>
        <v>1</v>
      </c>
      <c r="B8" s="152" t="s">
        <v>217</v>
      </c>
      <c r="C8" s="152" t="s">
        <v>207</v>
      </c>
      <c r="D8" s="152">
        <v>1</v>
      </c>
      <c r="E8" s="152" t="s">
        <v>115</v>
      </c>
      <c r="F8" s="152" t="s">
        <v>135</v>
      </c>
      <c r="G8" s="152" t="s">
        <v>118</v>
      </c>
      <c r="H8" s="152">
        <v>165</v>
      </c>
      <c r="I8" s="152">
        <v>0</v>
      </c>
      <c r="J8" s="152">
        <v>0</v>
      </c>
      <c r="K8" s="219">
        <v>16729754</v>
      </c>
      <c r="L8" s="219">
        <v>836487.7</v>
      </c>
    </row>
    <row r="9" spans="1:12" x14ac:dyDescent="0.3">
      <c r="A9" s="151">
        <f t="shared" si="0"/>
        <v>2</v>
      </c>
      <c r="B9" s="152" t="s">
        <v>218</v>
      </c>
      <c r="C9" s="152" t="s">
        <v>207</v>
      </c>
      <c r="D9" s="152">
        <v>2</v>
      </c>
      <c r="E9" s="152" t="s">
        <v>212</v>
      </c>
      <c r="F9" s="152" t="s">
        <v>138</v>
      </c>
      <c r="G9" s="152" t="s">
        <v>213</v>
      </c>
      <c r="H9" s="152">
        <v>215</v>
      </c>
      <c r="I9" s="152">
        <v>0</v>
      </c>
      <c r="J9" s="152">
        <v>48</v>
      </c>
      <c r="K9" s="219">
        <v>23585487</v>
      </c>
      <c r="L9" s="219">
        <v>1179274.3500000001</v>
      </c>
    </row>
    <row r="10" spans="1:12" x14ac:dyDescent="0.3">
      <c r="A10" s="151">
        <f t="shared" si="0"/>
        <v>3</v>
      </c>
      <c r="B10" s="152" t="s">
        <v>219</v>
      </c>
      <c r="C10" s="152" t="s">
        <v>207</v>
      </c>
      <c r="D10" s="152">
        <v>2</v>
      </c>
      <c r="E10" s="152" t="s">
        <v>212</v>
      </c>
      <c r="F10" s="152" t="s">
        <v>138</v>
      </c>
      <c r="G10" s="152" t="s">
        <v>118</v>
      </c>
      <c r="H10" s="152">
        <v>212</v>
      </c>
      <c r="I10" s="152">
        <v>0</v>
      </c>
      <c r="J10" s="152">
        <v>41</v>
      </c>
      <c r="K10" s="219">
        <v>23285556</v>
      </c>
      <c r="L10" s="219">
        <v>1164277.8</v>
      </c>
    </row>
    <row r="11" spans="1:12" x14ac:dyDescent="0.3">
      <c r="A11" s="151">
        <f t="shared" si="0"/>
        <v>4</v>
      </c>
      <c r="B11" s="152" t="s">
        <v>220</v>
      </c>
      <c r="C11" s="152" t="s">
        <v>207</v>
      </c>
      <c r="D11" s="152">
        <v>3</v>
      </c>
      <c r="E11" s="152" t="s">
        <v>115</v>
      </c>
      <c r="F11" s="152" t="s">
        <v>119</v>
      </c>
      <c r="G11" s="152" t="s">
        <v>118</v>
      </c>
      <c r="H11" s="152">
        <v>156</v>
      </c>
      <c r="I11" s="152">
        <v>95</v>
      </c>
      <c r="J11" s="152">
        <v>0</v>
      </c>
      <c r="K11" s="219">
        <v>16190653</v>
      </c>
      <c r="L11" s="219">
        <v>809532.65</v>
      </c>
    </row>
    <row r="12" spans="1:12" x14ac:dyDescent="0.3">
      <c r="A12" s="151">
        <f t="shared" si="0"/>
        <v>5</v>
      </c>
      <c r="B12" s="152" t="s">
        <v>422</v>
      </c>
      <c r="C12" s="152" t="s">
        <v>207</v>
      </c>
      <c r="D12" s="152">
        <v>6</v>
      </c>
      <c r="E12" s="152" t="s">
        <v>115</v>
      </c>
      <c r="F12" s="152" t="s">
        <v>135</v>
      </c>
      <c r="G12" s="152" t="s">
        <v>211</v>
      </c>
      <c r="H12" s="152">
        <v>88</v>
      </c>
      <c r="I12" s="152">
        <v>0</v>
      </c>
      <c r="J12" s="152">
        <v>0</v>
      </c>
      <c r="K12" s="219">
        <v>8775379</v>
      </c>
      <c r="L12" s="219">
        <v>438768.95</v>
      </c>
    </row>
    <row r="13" spans="1:12" x14ac:dyDescent="0.3">
      <c r="A13" s="151">
        <f t="shared" si="0"/>
        <v>6</v>
      </c>
      <c r="B13" s="152" t="s">
        <v>221</v>
      </c>
      <c r="C13" s="152" t="s">
        <v>207</v>
      </c>
      <c r="D13" s="152">
        <v>6</v>
      </c>
      <c r="E13" s="152" t="s">
        <v>115</v>
      </c>
      <c r="F13" s="152" t="s">
        <v>117</v>
      </c>
      <c r="G13" s="152" t="s">
        <v>118</v>
      </c>
      <c r="H13" s="152">
        <v>150</v>
      </c>
      <c r="I13" s="152">
        <v>0</v>
      </c>
      <c r="J13" s="152">
        <v>0</v>
      </c>
      <c r="K13" s="219">
        <v>14861793</v>
      </c>
      <c r="L13" s="219">
        <v>743089.65</v>
      </c>
    </row>
    <row r="14" spans="1:12" x14ac:dyDescent="0.3">
      <c r="A14" s="151">
        <f t="shared" si="0"/>
        <v>7</v>
      </c>
      <c r="B14" s="152" t="s">
        <v>465</v>
      </c>
      <c r="C14" s="152" t="s">
        <v>207</v>
      </c>
      <c r="D14" s="152">
        <v>7</v>
      </c>
      <c r="E14" s="152" t="s">
        <v>115</v>
      </c>
      <c r="F14" s="152" t="s">
        <v>117</v>
      </c>
      <c r="G14" s="152" t="s">
        <v>215</v>
      </c>
      <c r="H14" s="152">
        <v>150</v>
      </c>
      <c r="I14" s="152">
        <v>0</v>
      </c>
      <c r="J14" s="152">
        <v>0</v>
      </c>
      <c r="K14" s="219">
        <v>15265556</v>
      </c>
      <c r="L14" s="219">
        <v>763277.8</v>
      </c>
    </row>
    <row r="15" spans="1:12" x14ac:dyDescent="0.3">
      <c r="A15" s="151">
        <f t="shared" ref="A15:A19" si="1">ROW()-7</f>
        <v>8</v>
      </c>
      <c r="B15" s="152" t="s">
        <v>208</v>
      </c>
      <c r="C15" s="152" t="s">
        <v>207</v>
      </c>
      <c r="D15" s="152">
        <v>8</v>
      </c>
      <c r="E15" s="152" t="s">
        <v>115</v>
      </c>
      <c r="F15" s="152" t="s">
        <v>119</v>
      </c>
      <c r="G15" s="152" t="s">
        <v>209</v>
      </c>
      <c r="H15" s="152">
        <v>102</v>
      </c>
      <c r="I15" s="152">
        <v>74</v>
      </c>
      <c r="J15" s="152">
        <v>0</v>
      </c>
      <c r="K15" s="219">
        <v>11897235</v>
      </c>
      <c r="L15" s="219">
        <v>594861.75</v>
      </c>
    </row>
    <row r="16" spans="1:12" x14ac:dyDescent="0.3">
      <c r="A16" s="151">
        <f t="shared" si="1"/>
        <v>9</v>
      </c>
      <c r="B16" s="152" t="s">
        <v>282</v>
      </c>
      <c r="C16" s="152" t="s">
        <v>207</v>
      </c>
      <c r="D16" s="152">
        <v>8</v>
      </c>
      <c r="E16" s="152" t="s">
        <v>115</v>
      </c>
      <c r="F16" s="152" t="s">
        <v>136</v>
      </c>
      <c r="G16" s="152" t="s">
        <v>116</v>
      </c>
      <c r="H16" s="152">
        <v>105</v>
      </c>
      <c r="I16" s="152">
        <v>0</v>
      </c>
      <c r="J16" s="152">
        <v>0</v>
      </c>
      <c r="K16" s="219">
        <v>11237816</v>
      </c>
      <c r="L16" s="219">
        <v>561890.80000000005</v>
      </c>
    </row>
    <row r="17" spans="1:12" x14ac:dyDescent="0.3">
      <c r="A17" s="151">
        <f t="shared" si="1"/>
        <v>10</v>
      </c>
      <c r="B17" s="152" t="s">
        <v>442</v>
      </c>
      <c r="C17" s="152" t="s">
        <v>205</v>
      </c>
      <c r="D17" s="152">
        <v>1</v>
      </c>
      <c r="E17" s="152" t="s">
        <v>115</v>
      </c>
      <c r="F17" s="152" t="s">
        <v>117</v>
      </c>
      <c r="G17" s="152" t="s">
        <v>116</v>
      </c>
      <c r="H17" s="152">
        <v>110</v>
      </c>
      <c r="I17" s="152">
        <v>0</v>
      </c>
      <c r="J17" s="152">
        <v>0</v>
      </c>
      <c r="K17" s="219">
        <v>11654040</v>
      </c>
      <c r="L17" s="219">
        <v>582702</v>
      </c>
    </row>
    <row r="18" spans="1:12" x14ac:dyDescent="0.3">
      <c r="A18" s="151">
        <f t="shared" si="1"/>
        <v>11</v>
      </c>
      <c r="B18" s="152" t="s">
        <v>475</v>
      </c>
      <c r="C18" s="152" t="s">
        <v>205</v>
      </c>
      <c r="D18" s="152">
        <v>1</v>
      </c>
      <c r="E18" s="152" t="s">
        <v>115</v>
      </c>
      <c r="F18" s="152" t="s">
        <v>117</v>
      </c>
      <c r="G18" s="152" t="s">
        <v>118</v>
      </c>
      <c r="H18" s="152">
        <v>142</v>
      </c>
      <c r="I18" s="152">
        <v>0</v>
      </c>
      <c r="J18" s="152">
        <v>0</v>
      </c>
      <c r="K18" s="219">
        <v>14826074</v>
      </c>
      <c r="L18" s="219">
        <v>741303.7</v>
      </c>
    </row>
    <row r="19" spans="1:12" x14ac:dyDescent="0.3">
      <c r="A19" s="151">
        <f t="shared" si="1"/>
        <v>12</v>
      </c>
      <c r="B19" s="152" t="s">
        <v>423</v>
      </c>
      <c r="C19" s="152" t="s">
        <v>205</v>
      </c>
      <c r="D19" s="152">
        <v>2</v>
      </c>
      <c r="E19" s="152" t="s">
        <v>115</v>
      </c>
      <c r="F19" s="152" t="s">
        <v>117</v>
      </c>
      <c r="G19" s="152" t="s">
        <v>215</v>
      </c>
      <c r="H19" s="152">
        <v>150</v>
      </c>
      <c r="I19" s="152">
        <v>0</v>
      </c>
      <c r="J19" s="152">
        <v>0</v>
      </c>
      <c r="K19" s="219">
        <v>15528880</v>
      </c>
      <c r="L19" s="219">
        <v>776444</v>
      </c>
    </row>
    <row r="20" spans="1:12" x14ac:dyDescent="0.3">
      <c r="A20" s="151">
        <f t="shared" ref="A20:A36" si="2">ROW()-7</f>
        <v>13</v>
      </c>
      <c r="B20" s="152" t="s">
        <v>214</v>
      </c>
      <c r="C20" s="152" t="s">
        <v>205</v>
      </c>
      <c r="D20" s="152">
        <v>3</v>
      </c>
      <c r="E20" s="152" t="s">
        <v>115</v>
      </c>
      <c r="F20" s="152" t="s">
        <v>136</v>
      </c>
      <c r="G20" s="152" t="s">
        <v>116</v>
      </c>
      <c r="H20" s="152">
        <v>124</v>
      </c>
      <c r="I20" s="152">
        <v>0</v>
      </c>
      <c r="J20" s="152">
        <v>0</v>
      </c>
      <c r="K20" s="219">
        <v>12111318</v>
      </c>
      <c r="L20" s="219">
        <v>605565.9</v>
      </c>
    </row>
    <row r="21" spans="1:12" x14ac:dyDescent="0.3">
      <c r="A21" s="151">
        <f t="shared" si="2"/>
        <v>14</v>
      </c>
      <c r="B21" s="152" t="s">
        <v>424</v>
      </c>
      <c r="C21" s="152" t="s">
        <v>206</v>
      </c>
      <c r="D21" s="152">
        <v>1</v>
      </c>
      <c r="E21" s="152" t="s">
        <v>115</v>
      </c>
      <c r="F21" s="152" t="s">
        <v>119</v>
      </c>
      <c r="G21" s="152" t="s">
        <v>116</v>
      </c>
      <c r="H21" s="152">
        <v>130</v>
      </c>
      <c r="I21" s="152">
        <v>110</v>
      </c>
      <c r="J21" s="152">
        <v>0</v>
      </c>
      <c r="K21" s="219">
        <v>15039392</v>
      </c>
      <c r="L21" s="219">
        <v>751969.6</v>
      </c>
    </row>
    <row r="22" spans="1:12" x14ac:dyDescent="0.3">
      <c r="A22" s="151">
        <f t="shared" si="2"/>
        <v>15</v>
      </c>
      <c r="B22" s="152" t="s">
        <v>425</v>
      </c>
      <c r="C22" s="152" t="s">
        <v>206</v>
      </c>
      <c r="D22" s="152">
        <v>3</v>
      </c>
      <c r="E22" s="152" t="s">
        <v>228</v>
      </c>
      <c r="F22" s="152" t="s">
        <v>119</v>
      </c>
      <c r="G22" s="152" t="s">
        <v>213</v>
      </c>
      <c r="H22" s="152">
        <v>275</v>
      </c>
      <c r="I22" s="152">
        <v>127</v>
      </c>
      <c r="J22" s="152">
        <v>0</v>
      </c>
      <c r="K22" s="219">
        <v>29847432</v>
      </c>
      <c r="L22" s="219">
        <v>1492371.6</v>
      </c>
    </row>
    <row r="23" spans="1:12" x14ac:dyDescent="0.3">
      <c r="A23" s="151">
        <f t="shared" si="2"/>
        <v>16</v>
      </c>
      <c r="B23" s="152" t="s">
        <v>216</v>
      </c>
      <c r="C23" s="152" t="s">
        <v>206</v>
      </c>
      <c r="D23" s="152">
        <v>5</v>
      </c>
      <c r="E23" s="152" t="s">
        <v>115</v>
      </c>
      <c r="F23" s="152" t="s">
        <v>135</v>
      </c>
      <c r="G23" s="152" t="s">
        <v>118</v>
      </c>
      <c r="H23" s="152">
        <v>170</v>
      </c>
      <c r="I23" s="152">
        <v>0</v>
      </c>
      <c r="J23" s="152">
        <v>0</v>
      </c>
      <c r="K23" s="219">
        <v>17290977</v>
      </c>
      <c r="L23" s="219">
        <v>864548.85</v>
      </c>
    </row>
    <row r="24" spans="1:12" x14ac:dyDescent="0.3">
      <c r="A24" s="151">
        <f t="shared" si="2"/>
        <v>17</v>
      </c>
      <c r="B24" s="152" t="s">
        <v>453</v>
      </c>
      <c r="C24" s="152" t="s">
        <v>210</v>
      </c>
      <c r="D24" s="152">
        <v>1</v>
      </c>
      <c r="E24" s="152" t="s">
        <v>115</v>
      </c>
      <c r="F24" s="152" t="s">
        <v>136</v>
      </c>
      <c r="G24" s="152" t="s">
        <v>116</v>
      </c>
      <c r="H24" s="152">
        <v>132</v>
      </c>
      <c r="I24" s="152">
        <v>0</v>
      </c>
      <c r="J24" s="152">
        <v>0</v>
      </c>
      <c r="K24" s="219">
        <v>13682206</v>
      </c>
      <c r="L24" s="219">
        <v>684110.3</v>
      </c>
    </row>
    <row r="25" spans="1:12" x14ac:dyDescent="0.3">
      <c r="A25" s="151">
        <f t="shared" si="2"/>
        <v>18</v>
      </c>
      <c r="B25" s="152" t="s">
        <v>222</v>
      </c>
      <c r="C25" s="152" t="s">
        <v>210</v>
      </c>
      <c r="D25" s="152">
        <v>1</v>
      </c>
      <c r="E25" s="152" t="s">
        <v>115</v>
      </c>
      <c r="F25" s="152" t="s">
        <v>137</v>
      </c>
      <c r="G25" s="152" t="s">
        <v>118</v>
      </c>
      <c r="H25" s="152">
        <v>163</v>
      </c>
      <c r="I25" s="152">
        <v>0</v>
      </c>
      <c r="J25" s="152">
        <v>0</v>
      </c>
      <c r="K25" s="219">
        <v>16396828</v>
      </c>
      <c r="L25" s="219">
        <v>819841.4</v>
      </c>
    </row>
    <row r="26" spans="1:12" x14ac:dyDescent="0.3">
      <c r="A26" s="151">
        <f t="shared" si="2"/>
        <v>19</v>
      </c>
      <c r="B26" s="152" t="s">
        <v>223</v>
      </c>
      <c r="C26" s="152" t="s">
        <v>210</v>
      </c>
      <c r="D26" s="152">
        <v>2</v>
      </c>
      <c r="E26" s="152" t="s">
        <v>115</v>
      </c>
      <c r="F26" s="152" t="s">
        <v>136</v>
      </c>
      <c r="G26" s="152" t="s">
        <v>118</v>
      </c>
      <c r="H26" s="152">
        <v>160</v>
      </c>
      <c r="I26" s="152">
        <v>0</v>
      </c>
      <c r="J26" s="152">
        <v>0</v>
      </c>
      <c r="K26" s="219">
        <v>15963155</v>
      </c>
      <c r="L26" s="219">
        <v>798157.75</v>
      </c>
    </row>
    <row r="27" spans="1:12" x14ac:dyDescent="0.3">
      <c r="A27" s="151">
        <f t="shared" si="2"/>
        <v>20</v>
      </c>
      <c r="B27" s="152" t="s">
        <v>224</v>
      </c>
      <c r="C27" s="152" t="s">
        <v>210</v>
      </c>
      <c r="D27" s="152">
        <v>2</v>
      </c>
      <c r="E27" s="152" t="s">
        <v>115</v>
      </c>
      <c r="F27" s="152" t="s">
        <v>137</v>
      </c>
      <c r="G27" s="152" t="s">
        <v>211</v>
      </c>
      <c r="H27" s="152">
        <v>96</v>
      </c>
      <c r="I27" s="152">
        <v>0</v>
      </c>
      <c r="J27" s="152">
        <v>0</v>
      </c>
      <c r="K27" s="219">
        <v>9657027</v>
      </c>
      <c r="L27" s="219">
        <v>482851.35</v>
      </c>
    </row>
    <row r="28" spans="1:12" x14ac:dyDescent="0.3">
      <c r="A28" s="151">
        <f t="shared" si="2"/>
        <v>21</v>
      </c>
      <c r="B28" s="152" t="s">
        <v>225</v>
      </c>
      <c r="C28" s="152" t="s">
        <v>210</v>
      </c>
      <c r="D28" s="152">
        <v>4</v>
      </c>
      <c r="E28" s="152" t="s">
        <v>212</v>
      </c>
      <c r="F28" s="152" t="s">
        <v>138</v>
      </c>
      <c r="G28" s="152" t="s">
        <v>213</v>
      </c>
      <c r="H28" s="152">
        <v>215</v>
      </c>
      <c r="I28" s="152">
        <v>0</v>
      </c>
      <c r="J28" s="152">
        <v>54</v>
      </c>
      <c r="K28" s="219">
        <v>23861850</v>
      </c>
      <c r="L28" s="219">
        <v>1193092.5</v>
      </c>
    </row>
    <row r="29" spans="1:12" x14ac:dyDescent="0.3">
      <c r="A29" s="151">
        <f t="shared" si="2"/>
        <v>22</v>
      </c>
      <c r="B29" s="152" t="s">
        <v>426</v>
      </c>
      <c r="C29" s="152" t="s">
        <v>210</v>
      </c>
      <c r="D29" s="152">
        <v>5</v>
      </c>
      <c r="E29" s="152" t="s">
        <v>115</v>
      </c>
      <c r="F29" s="152" t="s">
        <v>137</v>
      </c>
      <c r="G29" s="152" t="s">
        <v>211</v>
      </c>
      <c r="H29" s="152">
        <v>81</v>
      </c>
      <c r="I29" s="152">
        <v>0</v>
      </c>
      <c r="J29" s="152">
        <v>0</v>
      </c>
      <c r="K29" s="219">
        <v>7952341</v>
      </c>
      <c r="L29" s="219">
        <v>397617.05</v>
      </c>
    </row>
    <row r="30" spans="1:12" x14ac:dyDescent="0.3">
      <c r="A30" s="151">
        <f t="shared" si="2"/>
        <v>23</v>
      </c>
      <c r="B30" s="152" t="s">
        <v>226</v>
      </c>
      <c r="C30" s="152" t="s">
        <v>210</v>
      </c>
      <c r="D30" s="152">
        <v>5</v>
      </c>
      <c r="E30" s="152" t="s">
        <v>212</v>
      </c>
      <c r="F30" s="152" t="s">
        <v>138</v>
      </c>
      <c r="G30" s="152" t="s">
        <v>213</v>
      </c>
      <c r="H30" s="152">
        <v>231</v>
      </c>
      <c r="I30" s="152">
        <v>0</v>
      </c>
      <c r="J30" s="152">
        <v>88</v>
      </c>
      <c r="K30" s="219">
        <v>26661094</v>
      </c>
      <c r="L30" s="219">
        <v>1333054.7</v>
      </c>
    </row>
    <row r="31" spans="1:12" x14ac:dyDescent="0.3">
      <c r="A31" s="151">
        <f t="shared" si="2"/>
        <v>24</v>
      </c>
      <c r="B31" s="152" t="s">
        <v>227</v>
      </c>
      <c r="C31" s="152" t="s">
        <v>210</v>
      </c>
      <c r="D31" s="152">
        <v>5</v>
      </c>
      <c r="E31" s="152" t="s">
        <v>115</v>
      </c>
      <c r="F31" s="152" t="s">
        <v>135</v>
      </c>
      <c r="G31" s="152" t="s">
        <v>118</v>
      </c>
      <c r="H31" s="152">
        <v>170</v>
      </c>
      <c r="I31" s="152">
        <v>0</v>
      </c>
      <c r="J31" s="152">
        <v>0</v>
      </c>
      <c r="K31" s="219">
        <v>17290977</v>
      </c>
      <c r="L31" s="219">
        <v>864548.85</v>
      </c>
    </row>
    <row r="32" spans="1:12" x14ac:dyDescent="0.3">
      <c r="A32" s="151">
        <f t="shared" si="2"/>
        <v>25</v>
      </c>
      <c r="B32" s="152" t="s">
        <v>429</v>
      </c>
      <c r="C32" s="152" t="s">
        <v>205</v>
      </c>
      <c r="D32" s="152">
        <v>1</v>
      </c>
      <c r="E32" s="152" t="s">
        <v>115</v>
      </c>
      <c r="F32" s="152" t="s">
        <v>117</v>
      </c>
      <c r="G32" s="152" t="s">
        <v>118</v>
      </c>
      <c r="H32" s="152">
        <v>186</v>
      </c>
      <c r="I32" s="152">
        <v>0</v>
      </c>
      <c r="J32" s="152">
        <v>0</v>
      </c>
      <c r="K32" s="219">
        <v>22858305</v>
      </c>
      <c r="L32" s="219">
        <v>1142915.25</v>
      </c>
    </row>
    <row r="33" spans="1:12" x14ac:dyDescent="0.3">
      <c r="A33" s="151">
        <f t="shared" si="2"/>
        <v>26</v>
      </c>
      <c r="B33" s="152" t="s">
        <v>430</v>
      </c>
      <c r="C33" s="152" t="s">
        <v>205</v>
      </c>
      <c r="D33" s="152">
        <v>1</v>
      </c>
      <c r="E33" s="152" t="s">
        <v>115</v>
      </c>
      <c r="F33" s="152" t="s">
        <v>135</v>
      </c>
      <c r="G33" s="152" t="s">
        <v>118</v>
      </c>
      <c r="H33" s="152">
        <v>170</v>
      </c>
      <c r="I33" s="152">
        <v>0</v>
      </c>
      <c r="J33" s="152">
        <v>0</v>
      </c>
      <c r="K33" s="219">
        <v>20987031</v>
      </c>
      <c r="L33" s="219">
        <v>1049351.55</v>
      </c>
    </row>
    <row r="34" spans="1:12" x14ac:dyDescent="0.3">
      <c r="A34" s="151">
        <f t="shared" si="2"/>
        <v>27</v>
      </c>
      <c r="B34" s="152" t="s">
        <v>431</v>
      </c>
      <c r="C34" s="152" t="s">
        <v>207</v>
      </c>
      <c r="D34" s="152">
        <v>8</v>
      </c>
      <c r="E34" s="152" t="s">
        <v>115</v>
      </c>
      <c r="F34" s="152" t="s">
        <v>136</v>
      </c>
      <c r="G34" s="152" t="s">
        <v>118</v>
      </c>
      <c r="H34" s="152">
        <v>154</v>
      </c>
      <c r="I34" s="152">
        <v>0</v>
      </c>
      <c r="J34" s="152">
        <v>0</v>
      </c>
      <c r="K34" s="219">
        <v>19097869</v>
      </c>
      <c r="L34" s="219">
        <v>954893.45</v>
      </c>
    </row>
    <row r="35" spans="1:12" x14ac:dyDescent="0.3">
      <c r="A35" s="151">
        <f t="shared" si="2"/>
        <v>28</v>
      </c>
      <c r="B35" s="152" t="s">
        <v>448</v>
      </c>
      <c r="C35" s="152" t="s">
        <v>207</v>
      </c>
      <c r="D35" s="152">
        <v>8</v>
      </c>
      <c r="E35" s="152" t="s">
        <v>115</v>
      </c>
      <c r="F35" s="152" t="s">
        <v>136</v>
      </c>
      <c r="G35" s="152" t="s">
        <v>116</v>
      </c>
      <c r="H35" s="152">
        <v>126</v>
      </c>
      <c r="I35" s="152">
        <v>0</v>
      </c>
      <c r="J35" s="152">
        <v>0</v>
      </c>
      <c r="K35" s="219">
        <v>14000006</v>
      </c>
      <c r="L35" s="219">
        <v>700000.3</v>
      </c>
    </row>
    <row r="36" spans="1:12" x14ac:dyDescent="0.3">
      <c r="A36" s="151">
        <f t="shared" si="2"/>
        <v>29</v>
      </c>
      <c r="B36" s="152" t="s">
        <v>432</v>
      </c>
      <c r="C36" s="152" t="s">
        <v>207</v>
      </c>
      <c r="D36" s="152">
        <v>8</v>
      </c>
      <c r="E36" s="152" t="s">
        <v>212</v>
      </c>
      <c r="F36" s="152" t="s">
        <v>138</v>
      </c>
      <c r="G36" s="152" t="s">
        <v>118</v>
      </c>
      <c r="H36" s="152">
        <v>176</v>
      </c>
      <c r="I36" s="152">
        <v>0</v>
      </c>
      <c r="J36" s="152">
        <v>36</v>
      </c>
      <c r="K36" s="219">
        <v>22825724</v>
      </c>
      <c r="L36" s="219">
        <v>1141286.2</v>
      </c>
    </row>
    <row r="40" spans="1:12" x14ac:dyDescent="0.3">
      <c r="B40" s="154"/>
    </row>
    <row r="41" spans="1:12" x14ac:dyDescent="0.3">
      <c r="B41" s="155"/>
    </row>
    <row r="42" spans="1:12" x14ac:dyDescent="0.3">
      <c r="B42" s="167"/>
      <c r="C42" s="168"/>
      <c r="K42" s="157"/>
      <c r="L42" s="157"/>
    </row>
    <row r="43" spans="1:12" x14ac:dyDescent="0.3">
      <c r="B43" s="168"/>
      <c r="C43" s="168"/>
      <c r="K43" s="157"/>
      <c r="L43" s="157"/>
    </row>
    <row r="44" spans="1:12" x14ac:dyDescent="0.3">
      <c r="B44" s="168"/>
      <c r="K44" s="157"/>
      <c r="L44" s="157"/>
    </row>
    <row r="45" spans="1:12" x14ac:dyDescent="0.3">
      <c r="B45" s="168"/>
      <c r="K45" s="157"/>
      <c r="L45" s="157"/>
    </row>
    <row r="46" spans="1:12" x14ac:dyDescent="0.3">
      <c r="B46" s="168"/>
      <c r="K46" s="157"/>
      <c r="L46" s="157"/>
    </row>
    <row r="47" spans="1:12" x14ac:dyDescent="0.3">
      <c r="B47" s="168"/>
      <c r="K47" s="157"/>
      <c r="L47" s="157"/>
    </row>
    <row r="48" spans="1:12" x14ac:dyDescent="0.3">
      <c r="B48" s="168"/>
      <c r="K48" s="157"/>
      <c r="L48" s="157"/>
    </row>
    <row r="49" spans="2:12" x14ac:dyDescent="0.3">
      <c r="B49" s="168"/>
      <c r="K49" s="157"/>
      <c r="L49" s="157"/>
    </row>
    <row r="50" spans="2:12" x14ac:dyDescent="0.3">
      <c r="B50" s="168"/>
      <c r="K50" s="157"/>
      <c r="L50" s="157"/>
    </row>
    <row r="51" spans="2:12" x14ac:dyDescent="0.3">
      <c r="B51" s="168"/>
      <c r="K51" s="157"/>
      <c r="L51" s="157"/>
    </row>
    <row r="52" spans="2:12" x14ac:dyDescent="0.3">
      <c r="B52" s="168"/>
      <c r="K52" s="157"/>
      <c r="L52" s="157"/>
    </row>
    <row r="53" spans="2:12" x14ac:dyDescent="0.3">
      <c r="B53" s="168"/>
      <c r="K53" s="157"/>
      <c r="L53" s="157"/>
    </row>
    <row r="54" spans="2:12" x14ac:dyDescent="0.3">
      <c r="B54" s="168"/>
      <c r="K54" s="157"/>
      <c r="L54" s="157"/>
    </row>
    <row r="55" spans="2:12" x14ac:dyDescent="0.3">
      <c r="B55" s="168"/>
      <c r="K55" s="157"/>
      <c r="L55" s="157"/>
    </row>
    <row r="56" spans="2:12" x14ac:dyDescent="0.3">
      <c r="B56" s="168"/>
      <c r="K56" s="157"/>
      <c r="L56" s="157"/>
    </row>
    <row r="57" spans="2:12" x14ac:dyDescent="0.3">
      <c r="B57" s="168"/>
      <c r="K57" s="157"/>
      <c r="L57" s="157"/>
    </row>
    <row r="58" spans="2:12" x14ac:dyDescent="0.3">
      <c r="B58" s="168"/>
      <c r="K58" s="157"/>
      <c r="L58" s="157"/>
    </row>
    <row r="59" spans="2:12" x14ac:dyDescent="0.3">
      <c r="B59" s="168"/>
      <c r="K59" s="157"/>
      <c r="L59" s="157"/>
    </row>
    <row r="60" spans="2:12" x14ac:dyDescent="0.3">
      <c r="B60" s="168"/>
      <c r="K60" s="157"/>
      <c r="L60" s="157"/>
    </row>
    <row r="61" spans="2:12" x14ac:dyDescent="0.3">
      <c r="B61" s="168"/>
      <c r="K61" s="157"/>
      <c r="L61" s="157"/>
    </row>
    <row r="62" spans="2:12" x14ac:dyDescent="0.3">
      <c r="B62" s="168"/>
      <c r="K62" s="157"/>
      <c r="L62" s="157"/>
    </row>
    <row r="63" spans="2:12" x14ac:dyDescent="0.3">
      <c r="B63" s="168"/>
      <c r="K63" s="157"/>
      <c r="L63" s="157"/>
    </row>
    <row r="64" spans="2:12" x14ac:dyDescent="0.3">
      <c r="B64" s="168"/>
      <c r="K64" s="157"/>
      <c r="L64" s="157"/>
    </row>
    <row r="65" spans="2:12" x14ac:dyDescent="0.3">
      <c r="B65" s="168"/>
      <c r="K65" s="157"/>
      <c r="L65" s="157"/>
    </row>
    <row r="66" spans="2:12" x14ac:dyDescent="0.3">
      <c r="B66" s="168"/>
      <c r="K66" s="157"/>
      <c r="L66" s="157"/>
    </row>
    <row r="67" spans="2:12" x14ac:dyDescent="0.3">
      <c r="B67" s="168"/>
      <c r="K67" s="157"/>
      <c r="L67" s="157"/>
    </row>
    <row r="68" spans="2:12" x14ac:dyDescent="0.3">
      <c r="B68" s="168"/>
      <c r="K68" s="157"/>
      <c r="L68" s="157"/>
    </row>
    <row r="69" spans="2:12" x14ac:dyDescent="0.3">
      <c r="B69" s="168"/>
      <c r="K69" s="157"/>
      <c r="L69" s="157"/>
    </row>
    <row r="70" spans="2:12" x14ac:dyDescent="0.3">
      <c r="B70" s="168"/>
      <c r="K70" s="157"/>
      <c r="L70" s="157"/>
    </row>
    <row r="71" spans="2:12" x14ac:dyDescent="0.3">
      <c r="B71" s="168"/>
    </row>
    <row r="72" spans="2:12" x14ac:dyDescent="0.3">
      <c r="B72" s="168"/>
    </row>
    <row r="73" spans="2:12" x14ac:dyDescent="0.3">
      <c r="B73" s="168"/>
    </row>
    <row r="74" spans="2:12" x14ac:dyDescent="0.3">
      <c r="B74" s="168"/>
    </row>
    <row r="75" spans="2:12" x14ac:dyDescent="0.3">
      <c r="B75" s="168"/>
    </row>
    <row r="76" spans="2:12" x14ac:dyDescent="0.3">
      <c r="B76" s="168"/>
    </row>
    <row r="77" spans="2:12" x14ac:dyDescent="0.3">
      <c r="B77" s="168"/>
    </row>
    <row r="78" spans="2:12" x14ac:dyDescent="0.3">
      <c r="B78" s="168"/>
    </row>
    <row r="79" spans="2:12" x14ac:dyDescent="0.3">
      <c r="B79" s="168"/>
    </row>
    <row r="80" spans="2:12" x14ac:dyDescent="0.3">
      <c r="B80" s="168"/>
    </row>
    <row r="81" spans="2:2" x14ac:dyDescent="0.3">
      <c r="B81" s="168"/>
    </row>
    <row r="82" spans="2:2" x14ac:dyDescent="0.3">
      <c r="B82" s="168"/>
    </row>
    <row r="83" spans="2:2" x14ac:dyDescent="0.3">
      <c r="B83" s="168"/>
    </row>
    <row r="84" spans="2:2" x14ac:dyDescent="0.3">
      <c r="B84" s="168"/>
    </row>
    <row r="85" spans="2:2" x14ac:dyDescent="0.3">
      <c r="B85" s="168"/>
    </row>
    <row r="86" spans="2:2" x14ac:dyDescent="0.3">
      <c r="B86" s="168"/>
    </row>
    <row r="87" spans="2:2" x14ac:dyDescent="0.3">
      <c r="B87" s="168"/>
    </row>
    <row r="88" spans="2:2" x14ac:dyDescent="0.3">
      <c r="B88" s="168"/>
    </row>
    <row r="89" spans="2:2" x14ac:dyDescent="0.3">
      <c r="B89" s="168"/>
    </row>
    <row r="90" spans="2:2" x14ac:dyDescent="0.3">
      <c r="B90" s="168"/>
    </row>
    <row r="91" spans="2:2" x14ac:dyDescent="0.3">
      <c r="B91" s="168"/>
    </row>
    <row r="92" spans="2:2" x14ac:dyDescent="0.3">
      <c r="B92" s="168"/>
    </row>
    <row r="93" spans="2:2" x14ac:dyDescent="0.3">
      <c r="B93" s="168"/>
    </row>
    <row r="94" spans="2:2" x14ac:dyDescent="0.3">
      <c r="B94" s="168"/>
    </row>
    <row r="95" spans="2:2" x14ac:dyDescent="0.3">
      <c r="B95" s="168"/>
    </row>
    <row r="96" spans="2:2" x14ac:dyDescent="0.3">
      <c r="B96" s="168"/>
    </row>
    <row r="97" spans="2:2" x14ac:dyDescent="0.3">
      <c r="B97" s="168"/>
    </row>
    <row r="98" spans="2:2" x14ac:dyDescent="0.3">
      <c r="B98" s="168"/>
    </row>
    <row r="99" spans="2:2" x14ac:dyDescent="0.3">
      <c r="B99" s="168"/>
    </row>
    <row r="100" spans="2:2" x14ac:dyDescent="0.3">
      <c r="B100" s="168"/>
    </row>
    <row r="101" spans="2:2" x14ac:dyDescent="0.3">
      <c r="B101" s="168"/>
    </row>
    <row r="102" spans="2:2" x14ac:dyDescent="0.3">
      <c r="B102" s="168"/>
    </row>
    <row r="103" spans="2:2" x14ac:dyDescent="0.3">
      <c r="B103" s="168"/>
    </row>
    <row r="104" spans="2:2" x14ac:dyDescent="0.3">
      <c r="B104" s="168"/>
    </row>
    <row r="105" spans="2:2" x14ac:dyDescent="0.3">
      <c r="B105" s="168"/>
    </row>
    <row r="106" spans="2:2" x14ac:dyDescent="0.3">
      <c r="B106" s="168"/>
    </row>
    <row r="107" spans="2:2" x14ac:dyDescent="0.3">
      <c r="B107" s="168"/>
    </row>
    <row r="108" spans="2:2" x14ac:dyDescent="0.3">
      <c r="B108" s="168"/>
    </row>
    <row r="109" spans="2:2" x14ac:dyDescent="0.3">
      <c r="B109" s="168"/>
    </row>
    <row r="110" spans="2:2" x14ac:dyDescent="0.3">
      <c r="B110" s="168"/>
    </row>
    <row r="111" spans="2:2" x14ac:dyDescent="0.3">
      <c r="B111" s="168"/>
    </row>
    <row r="112" spans="2:2" x14ac:dyDescent="0.3">
      <c r="B112" s="168"/>
    </row>
    <row r="113" spans="2:2" x14ac:dyDescent="0.3">
      <c r="B113" s="168"/>
    </row>
    <row r="114" spans="2:2" x14ac:dyDescent="0.3">
      <c r="B114" s="168"/>
    </row>
    <row r="115" spans="2:2" x14ac:dyDescent="0.3">
      <c r="B115" s="168"/>
    </row>
    <row r="116" spans="2:2" x14ac:dyDescent="0.3">
      <c r="B116" s="168"/>
    </row>
    <row r="117" spans="2:2" x14ac:dyDescent="0.3">
      <c r="B117" s="168"/>
    </row>
    <row r="118" spans="2:2" x14ac:dyDescent="0.3">
      <c r="B118" s="168"/>
    </row>
    <row r="119" spans="2:2" x14ac:dyDescent="0.3">
      <c r="B119" s="168"/>
    </row>
    <row r="120" spans="2:2" x14ac:dyDescent="0.3">
      <c r="B120" s="168"/>
    </row>
    <row r="121" spans="2:2" x14ac:dyDescent="0.3">
      <c r="B121" s="168"/>
    </row>
    <row r="122" spans="2:2" x14ac:dyDescent="0.3">
      <c r="B122" s="168"/>
    </row>
    <row r="123" spans="2:2" x14ac:dyDescent="0.3">
      <c r="B123" s="168"/>
    </row>
    <row r="124" spans="2:2" x14ac:dyDescent="0.3">
      <c r="B124" s="168"/>
    </row>
    <row r="125" spans="2:2" x14ac:dyDescent="0.3">
      <c r="B125" s="168"/>
    </row>
    <row r="126" spans="2:2" x14ac:dyDescent="0.3">
      <c r="B126" s="168"/>
    </row>
    <row r="127" spans="2:2" x14ac:dyDescent="0.3">
      <c r="B127" s="168"/>
    </row>
    <row r="128" spans="2:2" x14ac:dyDescent="0.3">
      <c r="B128" s="168"/>
    </row>
    <row r="129" spans="2:2" x14ac:dyDescent="0.3">
      <c r="B129" s="168"/>
    </row>
    <row r="130" spans="2:2" x14ac:dyDescent="0.3">
      <c r="B130" s="168"/>
    </row>
    <row r="131" spans="2:2" x14ac:dyDescent="0.3">
      <c r="B131" s="168"/>
    </row>
    <row r="132" spans="2:2" x14ac:dyDescent="0.3">
      <c r="B132" s="168"/>
    </row>
    <row r="133" spans="2:2" x14ac:dyDescent="0.3">
      <c r="B133" s="168"/>
    </row>
    <row r="134" spans="2:2" x14ac:dyDescent="0.3">
      <c r="B134" s="168"/>
    </row>
    <row r="135" spans="2:2" x14ac:dyDescent="0.3">
      <c r="B135" s="168"/>
    </row>
    <row r="136" spans="2:2" x14ac:dyDescent="0.3">
      <c r="B136" s="168"/>
    </row>
    <row r="137" spans="2:2" x14ac:dyDescent="0.3">
      <c r="B137" s="168"/>
    </row>
    <row r="138" spans="2:2" x14ac:dyDescent="0.3">
      <c r="B138" s="168"/>
    </row>
    <row r="139" spans="2:2" x14ac:dyDescent="0.3">
      <c r="B139" s="168"/>
    </row>
    <row r="140" spans="2:2" x14ac:dyDescent="0.3">
      <c r="B140" s="168"/>
    </row>
    <row r="141" spans="2:2" x14ac:dyDescent="0.3">
      <c r="B141" s="168"/>
    </row>
    <row r="142" spans="2:2" x14ac:dyDescent="0.3">
      <c r="B142" s="168"/>
    </row>
    <row r="143" spans="2:2" x14ac:dyDescent="0.3">
      <c r="B143" s="168"/>
    </row>
    <row r="144" spans="2:2" x14ac:dyDescent="0.3">
      <c r="B144" s="168"/>
    </row>
    <row r="145" spans="2:2" x14ac:dyDescent="0.3">
      <c r="B145" s="168"/>
    </row>
    <row r="146" spans="2:2" x14ac:dyDescent="0.3">
      <c r="B146" s="168"/>
    </row>
    <row r="147" spans="2:2" x14ac:dyDescent="0.3">
      <c r="B147" s="168"/>
    </row>
    <row r="148" spans="2:2" x14ac:dyDescent="0.3">
      <c r="B148" s="168"/>
    </row>
    <row r="149" spans="2:2" x14ac:dyDescent="0.3">
      <c r="B149" s="168"/>
    </row>
    <row r="150" spans="2:2" x14ac:dyDescent="0.3">
      <c r="B150" s="168"/>
    </row>
    <row r="151" spans="2:2" x14ac:dyDescent="0.3">
      <c r="B151" s="168"/>
    </row>
    <row r="152" spans="2:2" x14ac:dyDescent="0.3">
      <c r="B152" s="168"/>
    </row>
    <row r="153" spans="2:2" x14ac:dyDescent="0.3">
      <c r="B153" s="168"/>
    </row>
    <row r="154" spans="2:2" x14ac:dyDescent="0.3">
      <c r="B154" s="168"/>
    </row>
    <row r="155" spans="2:2" x14ac:dyDescent="0.3">
      <c r="B155" s="168"/>
    </row>
    <row r="156" spans="2:2" x14ac:dyDescent="0.3">
      <c r="B156" s="168"/>
    </row>
    <row r="157" spans="2:2" x14ac:dyDescent="0.3">
      <c r="B157" s="168"/>
    </row>
    <row r="158" spans="2:2" x14ac:dyDescent="0.3">
      <c r="B158" s="168"/>
    </row>
    <row r="159" spans="2:2" x14ac:dyDescent="0.3">
      <c r="B159" s="168"/>
    </row>
    <row r="160" spans="2:2" x14ac:dyDescent="0.3">
      <c r="B160" s="168"/>
    </row>
    <row r="161" spans="2:2" x14ac:dyDescent="0.3">
      <c r="B161" s="168"/>
    </row>
    <row r="162" spans="2:2" x14ac:dyDescent="0.3">
      <c r="B162" s="168"/>
    </row>
    <row r="163" spans="2:2" x14ac:dyDescent="0.3">
      <c r="B163" s="168"/>
    </row>
    <row r="164" spans="2:2" x14ac:dyDescent="0.3">
      <c r="B164" s="168"/>
    </row>
    <row r="165" spans="2:2" x14ac:dyDescent="0.3">
      <c r="B165" s="168"/>
    </row>
    <row r="166" spans="2:2" x14ac:dyDescent="0.3">
      <c r="B166" s="168"/>
    </row>
    <row r="167" spans="2:2" x14ac:dyDescent="0.3">
      <c r="B167" s="168"/>
    </row>
    <row r="168" spans="2:2" x14ac:dyDescent="0.3">
      <c r="B168" s="168"/>
    </row>
    <row r="169" spans="2:2" x14ac:dyDescent="0.3">
      <c r="B169" s="168"/>
    </row>
    <row r="170" spans="2:2" x14ac:dyDescent="0.3">
      <c r="B170" s="168"/>
    </row>
    <row r="171" spans="2:2" x14ac:dyDescent="0.3">
      <c r="B171" s="168"/>
    </row>
    <row r="172" spans="2:2" x14ac:dyDescent="0.3">
      <c r="B172" s="168"/>
    </row>
    <row r="173" spans="2:2" x14ac:dyDescent="0.3">
      <c r="B173" s="168"/>
    </row>
    <row r="174" spans="2:2" x14ac:dyDescent="0.3">
      <c r="B174" s="168"/>
    </row>
    <row r="175" spans="2:2" x14ac:dyDescent="0.3">
      <c r="B175" s="168"/>
    </row>
    <row r="176" spans="2:2" x14ac:dyDescent="0.3">
      <c r="B176" s="168"/>
    </row>
    <row r="177" spans="2:2" x14ac:dyDescent="0.3">
      <c r="B177" s="168"/>
    </row>
    <row r="178" spans="2:2" x14ac:dyDescent="0.3">
      <c r="B178" s="168"/>
    </row>
    <row r="179" spans="2:2" x14ac:dyDescent="0.3">
      <c r="B179" s="168"/>
    </row>
    <row r="180" spans="2:2" x14ac:dyDescent="0.3">
      <c r="B180" s="168"/>
    </row>
    <row r="181" spans="2:2" x14ac:dyDescent="0.3">
      <c r="B181" s="168"/>
    </row>
    <row r="182" spans="2:2" x14ac:dyDescent="0.3">
      <c r="B182" s="168"/>
    </row>
    <row r="183" spans="2:2" x14ac:dyDescent="0.3">
      <c r="B183" s="168"/>
    </row>
    <row r="184" spans="2:2" x14ac:dyDescent="0.3">
      <c r="B184" s="168"/>
    </row>
    <row r="185" spans="2:2" x14ac:dyDescent="0.3">
      <c r="B185" s="168"/>
    </row>
    <row r="186" spans="2:2" x14ac:dyDescent="0.3">
      <c r="B186" s="168"/>
    </row>
    <row r="187" spans="2:2" x14ac:dyDescent="0.3">
      <c r="B187" s="168"/>
    </row>
    <row r="188" spans="2:2" x14ac:dyDescent="0.3">
      <c r="B188" s="168"/>
    </row>
    <row r="189" spans="2:2" x14ac:dyDescent="0.3">
      <c r="B189" s="168"/>
    </row>
    <row r="190" spans="2:2" x14ac:dyDescent="0.3">
      <c r="B190" s="168"/>
    </row>
    <row r="191" spans="2:2" x14ac:dyDescent="0.3">
      <c r="B191" s="168"/>
    </row>
    <row r="192" spans="2:2" x14ac:dyDescent="0.3">
      <c r="B192" s="168"/>
    </row>
    <row r="193" spans="2:2" x14ac:dyDescent="0.3">
      <c r="B193" s="168"/>
    </row>
    <row r="194" spans="2:2" x14ac:dyDescent="0.3">
      <c r="B194" s="168"/>
    </row>
    <row r="195" spans="2:2" x14ac:dyDescent="0.3">
      <c r="B195" s="168"/>
    </row>
    <row r="196" spans="2:2" x14ac:dyDescent="0.3">
      <c r="B196" s="168"/>
    </row>
    <row r="197" spans="2:2" x14ac:dyDescent="0.3">
      <c r="B197" s="168"/>
    </row>
    <row r="198" spans="2:2" x14ac:dyDescent="0.3">
      <c r="B198" s="168"/>
    </row>
    <row r="199" spans="2:2" x14ac:dyDescent="0.3">
      <c r="B199" s="168"/>
    </row>
    <row r="200" spans="2:2" x14ac:dyDescent="0.3">
      <c r="B200" s="168"/>
    </row>
    <row r="201" spans="2:2" x14ac:dyDescent="0.3">
      <c r="B201" s="168"/>
    </row>
    <row r="202" spans="2:2" x14ac:dyDescent="0.3">
      <c r="B202" s="168"/>
    </row>
    <row r="203" spans="2:2" x14ac:dyDescent="0.3">
      <c r="B203" s="168"/>
    </row>
    <row r="204" spans="2:2" x14ac:dyDescent="0.3">
      <c r="B204" s="168"/>
    </row>
    <row r="205" spans="2:2" x14ac:dyDescent="0.3">
      <c r="B205" s="168"/>
    </row>
    <row r="206" spans="2:2" x14ac:dyDescent="0.3">
      <c r="B206" s="168"/>
    </row>
    <row r="207" spans="2:2" x14ac:dyDescent="0.3">
      <c r="B207" s="168"/>
    </row>
    <row r="208" spans="2:2" x14ac:dyDescent="0.3">
      <c r="B208" s="168"/>
    </row>
    <row r="209" spans="2:2" x14ac:dyDescent="0.3">
      <c r="B209" s="168"/>
    </row>
    <row r="210" spans="2:2" x14ac:dyDescent="0.3">
      <c r="B210" s="168"/>
    </row>
    <row r="211" spans="2:2" x14ac:dyDescent="0.3">
      <c r="B211" s="168"/>
    </row>
    <row r="212" spans="2:2" x14ac:dyDescent="0.3">
      <c r="B212" s="168"/>
    </row>
    <row r="213" spans="2:2" x14ac:dyDescent="0.3">
      <c r="B213" s="168"/>
    </row>
    <row r="214" spans="2:2" x14ac:dyDescent="0.3">
      <c r="B214" s="168"/>
    </row>
    <row r="215" spans="2:2" x14ac:dyDescent="0.3">
      <c r="B215" s="168"/>
    </row>
    <row r="216" spans="2:2" x14ac:dyDescent="0.3">
      <c r="B216" s="168"/>
    </row>
    <row r="217" spans="2:2" x14ac:dyDescent="0.3">
      <c r="B217" s="168"/>
    </row>
    <row r="218" spans="2:2" x14ac:dyDescent="0.3">
      <c r="B218" s="168"/>
    </row>
    <row r="219" spans="2:2" x14ac:dyDescent="0.3">
      <c r="B219" s="168"/>
    </row>
    <row r="220" spans="2:2" x14ac:dyDescent="0.3">
      <c r="B220" s="168"/>
    </row>
    <row r="221" spans="2:2" x14ac:dyDescent="0.3">
      <c r="B221" s="168"/>
    </row>
    <row r="222" spans="2:2" x14ac:dyDescent="0.3">
      <c r="B222" s="168"/>
    </row>
    <row r="223" spans="2:2" x14ac:dyDescent="0.3">
      <c r="B223" s="168"/>
    </row>
    <row r="224" spans="2:2" x14ac:dyDescent="0.3">
      <c r="B224" s="168"/>
    </row>
    <row r="225" spans="2:2" x14ac:dyDescent="0.3">
      <c r="B225" s="168"/>
    </row>
    <row r="226" spans="2:2" x14ac:dyDescent="0.3">
      <c r="B226" s="168"/>
    </row>
    <row r="227" spans="2:2" x14ac:dyDescent="0.3">
      <c r="B227" s="168"/>
    </row>
    <row r="228" spans="2:2" x14ac:dyDescent="0.3">
      <c r="B228" s="168"/>
    </row>
    <row r="229" spans="2:2" x14ac:dyDescent="0.3">
      <c r="B229" s="168"/>
    </row>
    <row r="230" spans="2:2" x14ac:dyDescent="0.3">
      <c r="B230" s="168"/>
    </row>
    <row r="231" spans="2:2" x14ac:dyDescent="0.3">
      <c r="B231" s="168"/>
    </row>
    <row r="232" spans="2:2" x14ac:dyDescent="0.3">
      <c r="B232" s="168"/>
    </row>
    <row r="233" spans="2:2" x14ac:dyDescent="0.3">
      <c r="B233" s="168"/>
    </row>
    <row r="234" spans="2:2" x14ac:dyDescent="0.3">
      <c r="B234" s="168"/>
    </row>
    <row r="235" spans="2:2" x14ac:dyDescent="0.3">
      <c r="B235" s="168"/>
    </row>
    <row r="236" spans="2:2" x14ac:dyDescent="0.3">
      <c r="B236" s="168"/>
    </row>
    <row r="237" spans="2:2" x14ac:dyDescent="0.3">
      <c r="B237" s="168"/>
    </row>
    <row r="238" spans="2:2" x14ac:dyDescent="0.3">
      <c r="B238" s="168"/>
    </row>
    <row r="239" spans="2:2" x14ac:dyDescent="0.3">
      <c r="B239" s="158"/>
    </row>
    <row r="240" spans="2:2" x14ac:dyDescent="0.3">
      <c r="B240" s="158"/>
    </row>
    <row r="241" spans="2:2" x14ac:dyDescent="0.3">
      <c r="B241" s="158"/>
    </row>
    <row r="242" spans="2:2" x14ac:dyDescent="0.3">
      <c r="B242" s="158"/>
    </row>
    <row r="243" spans="2:2" x14ac:dyDescent="0.3">
      <c r="B243" s="158"/>
    </row>
    <row r="244" spans="2:2" x14ac:dyDescent="0.3">
      <c r="B244" s="158"/>
    </row>
    <row r="245" spans="2:2" x14ac:dyDescent="0.3">
      <c r="B245" s="158"/>
    </row>
    <row r="246" spans="2:2" x14ac:dyDescent="0.3">
      <c r="B246" s="158"/>
    </row>
    <row r="247" spans="2:2" x14ac:dyDescent="0.3">
      <c r="B247" s="158"/>
    </row>
    <row r="248" spans="2:2" x14ac:dyDescent="0.3">
      <c r="B248" s="158"/>
    </row>
    <row r="249" spans="2:2" x14ac:dyDescent="0.3">
      <c r="B249" s="158"/>
    </row>
    <row r="250" spans="2:2" x14ac:dyDescent="0.3">
      <c r="B250" s="158"/>
    </row>
    <row r="251" spans="2:2" x14ac:dyDescent="0.3">
      <c r="B251" s="158"/>
    </row>
    <row r="252" spans="2:2" x14ac:dyDescent="0.3">
      <c r="B252" s="158"/>
    </row>
    <row r="253" spans="2:2" x14ac:dyDescent="0.3">
      <c r="B253" s="158"/>
    </row>
    <row r="254" spans="2:2" x14ac:dyDescent="0.3">
      <c r="B254" s="158"/>
    </row>
    <row r="255" spans="2:2" x14ac:dyDescent="0.3">
      <c r="B255" s="158"/>
    </row>
    <row r="256" spans="2:2" x14ac:dyDescent="0.3">
      <c r="B256" s="158"/>
    </row>
    <row r="257" spans="2:2" x14ac:dyDescent="0.3">
      <c r="B257" s="158"/>
    </row>
    <row r="258" spans="2:2" x14ac:dyDescent="0.3">
      <c r="B258" s="158"/>
    </row>
    <row r="259" spans="2:2" x14ac:dyDescent="0.3">
      <c r="B259" s="158"/>
    </row>
    <row r="260" spans="2:2" x14ac:dyDescent="0.3">
      <c r="B260" s="158"/>
    </row>
    <row r="261" spans="2:2" x14ac:dyDescent="0.3">
      <c r="B261" s="158"/>
    </row>
    <row r="262" spans="2:2" x14ac:dyDescent="0.3">
      <c r="B262" s="158"/>
    </row>
    <row r="263" spans="2:2" x14ac:dyDescent="0.3">
      <c r="B263" s="158"/>
    </row>
    <row r="264" spans="2:2" x14ac:dyDescent="0.3">
      <c r="B264" s="158"/>
    </row>
    <row r="265" spans="2:2" x14ac:dyDescent="0.3">
      <c r="B265" s="158"/>
    </row>
    <row r="266" spans="2:2" x14ac:dyDescent="0.3">
      <c r="B266" s="158"/>
    </row>
    <row r="267" spans="2:2" x14ac:dyDescent="0.3">
      <c r="B267" s="158"/>
    </row>
    <row r="268" spans="2:2" x14ac:dyDescent="0.3">
      <c r="B268" s="158"/>
    </row>
    <row r="269" spans="2:2" x14ac:dyDescent="0.3">
      <c r="B269" s="158"/>
    </row>
    <row r="270" spans="2:2" x14ac:dyDescent="0.3">
      <c r="B270" s="158"/>
    </row>
    <row r="271" spans="2:2" x14ac:dyDescent="0.3">
      <c r="B271" s="158"/>
    </row>
    <row r="272" spans="2:2" x14ac:dyDescent="0.3">
      <c r="B272" s="158"/>
    </row>
    <row r="273" spans="2:2" x14ac:dyDescent="0.3">
      <c r="B273" s="158"/>
    </row>
    <row r="274" spans="2:2" x14ac:dyDescent="0.3">
      <c r="B274" s="158"/>
    </row>
    <row r="275" spans="2:2" x14ac:dyDescent="0.3">
      <c r="B275" s="158"/>
    </row>
    <row r="276" spans="2:2" x14ac:dyDescent="0.3">
      <c r="B276" s="158"/>
    </row>
    <row r="277" spans="2:2" x14ac:dyDescent="0.3">
      <c r="B277" s="158"/>
    </row>
    <row r="278" spans="2:2" x14ac:dyDescent="0.3">
      <c r="B278" s="158"/>
    </row>
    <row r="279" spans="2:2" x14ac:dyDescent="0.3">
      <c r="B279" s="158"/>
    </row>
    <row r="280" spans="2:2" x14ac:dyDescent="0.3">
      <c r="B280" s="158"/>
    </row>
    <row r="281" spans="2:2" x14ac:dyDescent="0.3">
      <c r="B281" s="158"/>
    </row>
  </sheetData>
  <mergeCells count="3">
    <mergeCell ref="A1:L4"/>
    <mergeCell ref="K6:L6"/>
    <mergeCell ref="A5:J6"/>
  </mergeCells>
  <conditionalFormatting sqref="B1:B4 B7:B1048576">
    <cfRule type="duplicateValues" dxfId="318" priority="11"/>
    <cfRule type="duplicateValues" dxfId="317" priority="12"/>
  </conditionalFormatting>
  <conditionalFormatting sqref="B1:B1048576">
    <cfRule type="duplicateValues" dxfId="316" priority="5"/>
  </conditionalFormatting>
  <conditionalFormatting sqref="B7:B36">
    <cfRule type="duplicateValues" dxfId="315" priority="8694"/>
  </conditionalFormatting>
  <conditionalFormatting sqref="B42:B828">
    <cfRule type="duplicateValues" dxfId="314" priority="10"/>
  </conditionalFormatting>
  <conditionalFormatting sqref="B239:B1048576 B1:B4 B7:B41">
    <cfRule type="duplicateValues" dxfId="313" priority="13"/>
  </conditionalFormatting>
  <conditionalFormatting sqref="B282:B1048576 B1:B4 B7:B41">
    <cfRule type="duplicateValues" dxfId="312" priority="14"/>
  </conditionalFormatting>
  <conditionalFormatting sqref="C42:C43">
    <cfRule type="duplicateValues" dxfId="311" priority="1"/>
    <cfRule type="duplicateValues" dxfId="310" priority="2"/>
    <cfRule type="duplicateValues" dxfId="309" priority="3"/>
    <cfRule type="duplicateValues" dxfId="308" priority="4"/>
  </conditionalFormatting>
  <printOptions horizontalCentered="1"/>
  <pageMargins left="0" right="0" top="0" bottom="0" header="0" footer="0"/>
  <pageSetup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2278-3A3A-4182-A273-E3520BD6639A}">
  <sheetPr>
    <pageSetUpPr fitToPage="1"/>
  </sheetPr>
  <dimension ref="A1:J21"/>
  <sheetViews>
    <sheetView view="pageBreakPreview" zoomScale="85" zoomScaleNormal="85" zoomScaleSheetLayoutView="118" workbookViewId="0">
      <selection activeCell="H8" sqref="H8"/>
    </sheetView>
  </sheetViews>
  <sheetFormatPr defaultColWidth="9.109375" defaultRowHeight="21" customHeight="1" x14ac:dyDescent="0.3"/>
  <cols>
    <col min="1" max="1" width="4" style="20" customWidth="1"/>
    <col min="2" max="2" width="18" style="20" customWidth="1"/>
    <col min="3" max="3" width="23.109375" style="20" bestFit="1" customWidth="1"/>
    <col min="4" max="4" width="14.77734375" style="20" customWidth="1"/>
    <col min="5" max="5" width="16.33203125" style="20" customWidth="1"/>
    <col min="6" max="6" width="19" style="20" customWidth="1"/>
    <col min="7" max="7" width="12.77734375" style="20" customWidth="1"/>
    <col min="8" max="8" width="18.88671875" style="20" customWidth="1"/>
    <col min="9" max="9" width="16" style="20" customWidth="1"/>
    <col min="10" max="10" width="3" style="20" customWidth="1"/>
    <col min="11" max="16384" width="9.109375" style="20"/>
  </cols>
  <sheetData>
    <row r="1" spans="1:10" ht="21" customHeight="1" thickTop="1" thickBot="1" x14ac:dyDescent="0.35">
      <c r="A1" s="250" t="s">
        <v>69</v>
      </c>
      <c r="B1" s="250"/>
      <c r="C1" s="250"/>
      <c r="D1" s="250"/>
      <c r="E1" s="250"/>
      <c r="F1" s="250"/>
      <c r="G1" s="250"/>
      <c r="H1" s="250"/>
      <c r="I1" s="250"/>
    </row>
    <row r="2" spans="1:10" ht="16.95" customHeight="1" thickTop="1" thickBot="1" x14ac:dyDescent="0.35">
      <c r="A2" s="250"/>
      <c r="B2" s="250"/>
      <c r="C2" s="250"/>
      <c r="D2" s="250"/>
      <c r="E2" s="250"/>
      <c r="F2" s="250"/>
      <c r="G2" s="250"/>
      <c r="H2" s="250"/>
      <c r="I2" s="250"/>
    </row>
    <row r="3" spans="1:10" ht="12.6" customHeight="1" thickTop="1" thickBot="1" x14ac:dyDescent="0.35">
      <c r="A3" s="250"/>
      <c r="B3" s="250"/>
      <c r="C3" s="250"/>
      <c r="D3" s="250"/>
      <c r="E3" s="250"/>
      <c r="F3" s="250"/>
      <c r="G3" s="250"/>
      <c r="H3" s="250"/>
      <c r="I3" s="250"/>
    </row>
    <row r="4" spans="1:10" ht="21" customHeight="1" thickTop="1" thickBot="1" x14ac:dyDescent="0.35">
      <c r="A4" s="251"/>
      <c r="B4" s="252"/>
      <c r="C4" s="252"/>
      <c r="D4" s="252"/>
      <c r="E4" s="252"/>
      <c r="F4" s="252"/>
      <c r="G4" s="252"/>
      <c r="H4" s="252"/>
      <c r="I4" s="253"/>
    </row>
    <row r="5" spans="1:10" ht="26.4" customHeight="1" thickTop="1" thickBot="1" x14ac:dyDescent="0.35">
      <c r="A5" s="59" t="s">
        <v>5</v>
      </c>
      <c r="B5" s="59" t="s">
        <v>71</v>
      </c>
      <c r="C5" s="59" t="s">
        <v>7</v>
      </c>
      <c r="D5" s="59" t="s">
        <v>0</v>
      </c>
      <c r="E5" s="59" t="s">
        <v>9</v>
      </c>
      <c r="F5" s="59" t="s">
        <v>18</v>
      </c>
      <c r="G5" s="59" t="s">
        <v>4</v>
      </c>
      <c r="H5" s="59" t="s">
        <v>10</v>
      </c>
      <c r="I5" s="79">
        <v>0.1</v>
      </c>
    </row>
    <row r="6" spans="1:10" s="71" customFormat="1" ht="26.4" customHeight="1" thickTop="1" thickBot="1" x14ac:dyDescent="0.35">
      <c r="A6" s="72">
        <v>1</v>
      </c>
      <c r="B6" s="72" t="s">
        <v>409</v>
      </c>
      <c r="C6" s="72" t="s">
        <v>410</v>
      </c>
      <c r="D6" s="72">
        <v>526.1</v>
      </c>
      <c r="E6" s="72">
        <v>230</v>
      </c>
      <c r="F6" s="72">
        <v>190</v>
      </c>
      <c r="G6" s="72">
        <v>0</v>
      </c>
      <c r="H6" s="73">
        <v>44122050</v>
      </c>
      <c r="I6" s="73">
        <v>4412205</v>
      </c>
      <c r="J6" s="130"/>
    </row>
    <row r="7" spans="1:10" ht="25.95" customHeight="1" thickTop="1" thickBot="1" x14ac:dyDescent="0.35">
      <c r="A7" s="13"/>
      <c r="B7" s="70">
        <v>0</v>
      </c>
      <c r="C7" s="13"/>
      <c r="D7" s="13"/>
      <c r="E7" s="13"/>
      <c r="F7" s="13"/>
      <c r="G7" s="13"/>
      <c r="H7" s="131">
        <v>0</v>
      </c>
      <c r="I7" s="35"/>
    </row>
    <row r="8" spans="1:10" ht="21" customHeight="1" thickTop="1" x14ac:dyDescent="0.3"/>
    <row r="9" spans="1:10" ht="21" customHeight="1" x14ac:dyDescent="0.25">
      <c r="B9" s="120"/>
      <c r="C9" s="120"/>
    </row>
    <row r="10" spans="1:10" ht="21" customHeight="1" x14ac:dyDescent="0.3">
      <c r="B10" s="122"/>
      <c r="C10" s="119"/>
    </row>
    <row r="11" spans="1:10" ht="21" customHeight="1" x14ac:dyDescent="0.3">
      <c r="B11" s="119"/>
      <c r="C11" s="121"/>
    </row>
    <row r="12" spans="1:10" ht="21" customHeight="1" x14ac:dyDescent="0.3">
      <c r="B12" s="119"/>
    </row>
    <row r="13" spans="1:10" ht="21" customHeight="1" x14ac:dyDescent="0.3">
      <c r="B13" s="122"/>
      <c r="C13" s="119"/>
    </row>
    <row r="14" spans="1:10" ht="21" customHeight="1" x14ac:dyDescent="0.3">
      <c r="B14" s="119"/>
      <c r="C14" s="119"/>
    </row>
    <row r="15" spans="1:10" ht="21" customHeight="1" x14ac:dyDescent="0.3">
      <c r="B15" s="123"/>
      <c r="C15" s="119"/>
    </row>
    <row r="16" spans="1:10" ht="21" customHeight="1" x14ac:dyDescent="0.3">
      <c r="B16" s="119"/>
      <c r="C16" s="122"/>
    </row>
    <row r="17" spans="2:3" ht="21" customHeight="1" x14ac:dyDescent="0.3">
      <c r="B17" s="119"/>
      <c r="C17" s="119"/>
    </row>
    <row r="18" spans="2:3" ht="21" customHeight="1" x14ac:dyDescent="0.3">
      <c r="B18" s="119"/>
      <c r="C18" s="123"/>
    </row>
    <row r="19" spans="2:3" ht="21" customHeight="1" x14ac:dyDescent="0.3">
      <c r="B19" s="123"/>
      <c r="C19" s="119"/>
    </row>
    <row r="20" spans="2:3" ht="21" customHeight="1" x14ac:dyDescent="0.3">
      <c r="B20" s="119"/>
      <c r="C20" s="119"/>
    </row>
    <row r="21" spans="2:3" ht="21" customHeight="1" x14ac:dyDescent="0.3">
      <c r="B21" s="119"/>
    </row>
  </sheetData>
  <mergeCells count="2">
    <mergeCell ref="A1:I3"/>
    <mergeCell ref="A4:I4"/>
  </mergeCells>
  <conditionalFormatting sqref="A7">
    <cfRule type="duplicateValues" dxfId="307" priority="17"/>
    <cfRule type="duplicateValues" dxfId="306" priority="4443"/>
  </conditionalFormatting>
  <conditionalFormatting sqref="A8:A1048576">
    <cfRule type="duplicateValues" dxfId="305" priority="34"/>
  </conditionalFormatting>
  <conditionalFormatting sqref="B1:B1048576">
    <cfRule type="duplicateValues" dxfId="304" priority="1"/>
  </conditionalFormatting>
  <conditionalFormatting sqref="B7">
    <cfRule type="duplicateValues" dxfId="303" priority="14"/>
    <cfRule type="duplicateValues" dxfId="302" priority="15"/>
  </conditionalFormatting>
  <conditionalFormatting sqref="B8 B1:B3 B5:B6 B22:B1048576">
    <cfRule type="duplicateValues" dxfId="301" priority="18"/>
  </conditionalFormatting>
  <conditionalFormatting sqref="B8 B22:B1048576">
    <cfRule type="duplicateValues" dxfId="300" priority="4218"/>
  </conditionalFormatting>
  <conditionalFormatting sqref="B18:B1048576 B1:B8">
    <cfRule type="duplicateValues" dxfId="299" priority="2"/>
  </conditionalFormatting>
  <conditionalFormatting sqref="B19:B1048576 B1:B8">
    <cfRule type="duplicateValues" dxfId="298" priority="3"/>
    <cfRule type="duplicateValues" dxfId="297" priority="4"/>
  </conditionalFormatting>
  <conditionalFormatting sqref="B22:B1048576 B1:B3 B5:B8">
    <cfRule type="duplicateValues" dxfId="296" priority="10"/>
    <cfRule type="duplicateValues" dxfId="295" priority="11"/>
  </conditionalFormatting>
  <conditionalFormatting sqref="B22:B1048576 B1:B8 C13:C20 C9:C11">
    <cfRule type="duplicateValues" dxfId="294" priority="7"/>
  </conditionalFormatting>
  <conditionalFormatting sqref="B22:B1048576 B1:B8">
    <cfRule type="duplicateValues" dxfId="293" priority="6"/>
    <cfRule type="duplicateValues" dxfId="292" priority="8"/>
  </conditionalFormatting>
  <conditionalFormatting sqref="B22:B1048576">
    <cfRule type="duplicateValues" dxfId="291" priority="5"/>
  </conditionalFormatting>
  <conditionalFormatting sqref="H7">
    <cfRule type="duplicateValues" dxfId="290" priority="12"/>
    <cfRule type="duplicateValues" dxfId="289" priority="13"/>
  </conditionalFormatting>
  <pageMargins left="0.45" right="0.45" top="0.75" bottom="0.75" header="0.3" footer="0.3"/>
  <pageSetup scale="6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3DF4-9637-4D8E-B6B7-1A58F0A2F19F}">
  <sheetPr>
    <pageSetUpPr fitToPage="1"/>
  </sheetPr>
  <dimension ref="A1:H8"/>
  <sheetViews>
    <sheetView view="pageBreakPreview" zoomScale="92" zoomScaleNormal="82" zoomScaleSheetLayoutView="118" workbookViewId="0">
      <selection activeCell="C12" sqref="C12"/>
    </sheetView>
  </sheetViews>
  <sheetFormatPr defaultColWidth="9.109375" defaultRowHeight="21" customHeight="1" x14ac:dyDescent="0.3"/>
  <cols>
    <col min="1" max="1" width="7.109375" style="20" customWidth="1"/>
    <col min="2" max="2" width="16.6640625" style="20" customWidth="1"/>
    <col min="3" max="3" width="7" style="20" bestFit="1" customWidth="1"/>
    <col min="4" max="4" width="22.44140625" style="20" customWidth="1"/>
    <col min="5" max="5" width="11.33203125" style="20" customWidth="1"/>
    <col min="6" max="6" width="18.44140625" style="20" bestFit="1" customWidth="1"/>
    <col min="7" max="7" width="22.44140625" style="20" customWidth="1"/>
    <col min="8" max="8" width="18.33203125" style="20" customWidth="1"/>
    <col min="9" max="9" width="12.109375" style="71" bestFit="1" customWidth="1"/>
    <col min="10" max="16384" width="9.109375" style="71"/>
  </cols>
  <sheetData>
    <row r="1" spans="1:8" s="20" customFormat="1" ht="18" customHeight="1" thickTop="1" x14ac:dyDescent="0.3">
      <c r="A1" s="254" t="s">
        <v>412</v>
      </c>
      <c r="B1" s="255"/>
      <c r="C1" s="255"/>
      <c r="D1" s="255"/>
      <c r="E1" s="255"/>
      <c r="F1" s="255"/>
      <c r="G1" s="255"/>
      <c r="H1" s="255"/>
    </row>
    <row r="2" spans="1:8" s="20" customFormat="1" ht="18" customHeight="1" x14ac:dyDescent="0.3">
      <c r="A2" s="256"/>
      <c r="B2" s="257"/>
      <c r="C2" s="257"/>
      <c r="D2" s="257"/>
      <c r="E2" s="257"/>
      <c r="F2" s="257"/>
      <c r="G2" s="257"/>
      <c r="H2" s="257"/>
    </row>
    <row r="3" spans="1:8" s="20" customFormat="1" ht="18" customHeight="1" thickBot="1" x14ac:dyDescent="0.35">
      <c r="A3" s="258"/>
      <c r="B3" s="259"/>
      <c r="C3" s="259"/>
      <c r="D3" s="259"/>
      <c r="E3" s="259"/>
      <c r="F3" s="259"/>
      <c r="G3" s="259"/>
      <c r="H3" s="259"/>
    </row>
    <row r="4" spans="1:8" s="20" customFormat="1" ht="16.2" customHeight="1" thickTop="1" thickBot="1" x14ac:dyDescent="0.35">
      <c r="A4" s="58"/>
      <c r="B4" s="58"/>
      <c r="C4" s="58"/>
      <c r="D4" s="58"/>
      <c r="E4" s="58"/>
      <c r="F4" s="58"/>
      <c r="G4" s="58"/>
      <c r="H4" s="58"/>
    </row>
    <row r="5" spans="1:8" ht="28.95" customHeight="1" thickTop="1" thickBot="1" x14ac:dyDescent="0.35">
      <c r="A5" s="76" t="s">
        <v>5</v>
      </c>
      <c r="B5" s="76" t="s">
        <v>71</v>
      </c>
      <c r="C5" s="76" t="s">
        <v>3</v>
      </c>
      <c r="D5" s="76" t="s">
        <v>72</v>
      </c>
      <c r="E5" s="76" t="s">
        <v>1</v>
      </c>
      <c r="F5" s="76" t="s">
        <v>73</v>
      </c>
      <c r="G5" s="76" t="s">
        <v>46</v>
      </c>
      <c r="H5" s="76" t="s">
        <v>411</v>
      </c>
    </row>
    <row r="6" spans="1:8" ht="30" customHeight="1" thickTop="1" thickBot="1" x14ac:dyDescent="0.35">
      <c r="A6" s="77">
        <v>1</v>
      </c>
      <c r="B6" s="77"/>
      <c r="C6" s="77"/>
      <c r="D6" s="77"/>
      <c r="E6" s="77"/>
      <c r="F6" s="77"/>
      <c r="G6" s="78"/>
      <c r="H6" s="78"/>
    </row>
    <row r="7" spans="1:8" ht="25.95" customHeight="1" thickTop="1" thickBot="1" x14ac:dyDescent="0.35">
      <c r="A7" s="13"/>
      <c r="B7" s="70">
        <f>COUNTA(B6)</f>
        <v>0</v>
      </c>
      <c r="C7" s="13"/>
      <c r="D7" s="13"/>
      <c r="E7" s="13"/>
      <c r="F7" s="13"/>
      <c r="G7" s="217">
        <f>SUM(G6)</f>
        <v>0</v>
      </c>
      <c r="H7" s="72"/>
    </row>
    <row r="8" spans="1:8" ht="17.399999999999999" customHeight="1" thickTop="1" x14ac:dyDescent="0.3"/>
  </sheetData>
  <mergeCells count="1">
    <mergeCell ref="A1:H3"/>
  </mergeCells>
  <conditionalFormatting sqref="A7">
    <cfRule type="duplicateValues" dxfId="288" priority="6"/>
    <cfRule type="duplicateValues" dxfId="287" priority="4402"/>
  </conditionalFormatting>
  <conditionalFormatting sqref="A8:A1048576">
    <cfRule type="duplicateValues" dxfId="286" priority="8"/>
  </conditionalFormatting>
  <conditionalFormatting sqref="B7">
    <cfRule type="duplicateValues" dxfId="285" priority="3"/>
    <cfRule type="duplicateValues" dxfId="284" priority="4"/>
  </conditionalFormatting>
  <conditionalFormatting sqref="B8:B1048576 B4:B6">
    <cfRule type="duplicateValues" dxfId="283" priority="7"/>
  </conditionalFormatting>
  <conditionalFormatting sqref="B8:B1048576">
    <cfRule type="duplicateValues" dxfId="282" priority="9"/>
  </conditionalFormatting>
  <conditionalFormatting sqref="G7">
    <cfRule type="duplicateValues" dxfId="281" priority="1"/>
    <cfRule type="duplicateValues" dxfId="280" priority="2"/>
  </conditionalFormatting>
  <pageMargins left="0.7" right="0.7" top="0.75" bottom="0.75" header="0.3" footer="0.3"/>
  <pageSetup scale="7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E331-90B9-46B1-A642-209AE4728DEB}">
  <dimension ref="A1:G6"/>
  <sheetViews>
    <sheetView workbookViewId="0">
      <selection activeCell="L19" sqref="L19"/>
    </sheetView>
  </sheetViews>
  <sheetFormatPr defaultColWidth="9.109375" defaultRowHeight="14.4" x14ac:dyDescent="0.3"/>
  <cols>
    <col min="1" max="1" width="6.6640625" style="1" customWidth="1"/>
    <col min="2" max="2" width="15.33203125" style="1" bestFit="1" customWidth="1"/>
    <col min="3" max="3" width="11.33203125" style="1" bestFit="1" customWidth="1"/>
    <col min="4" max="4" width="4.88671875" style="1" bestFit="1" customWidth="1"/>
    <col min="5" max="5" width="6.5546875" style="1" bestFit="1" customWidth="1"/>
    <col min="6" max="6" width="14.33203125" style="1" bestFit="1" customWidth="1"/>
    <col min="7" max="7" width="12.6640625" style="1" bestFit="1" customWidth="1"/>
    <col min="8" max="16384" width="9.109375" style="1"/>
  </cols>
  <sheetData>
    <row r="1" spans="1:7" ht="24.6" thickTop="1" thickBot="1" x14ac:dyDescent="0.35">
      <c r="A1" s="260" t="s">
        <v>54</v>
      </c>
      <c r="B1" s="261"/>
      <c r="C1" s="261"/>
      <c r="D1" s="261"/>
      <c r="E1" s="261"/>
      <c r="F1" s="261"/>
      <c r="G1" s="262"/>
    </row>
    <row r="2" spans="1:7" ht="8.25" customHeight="1" thickTop="1" x14ac:dyDescent="0.3"/>
    <row r="3" spans="1:7" ht="11.25" customHeight="1" thickBot="1" x14ac:dyDescent="0.35"/>
    <row r="4" spans="1:7" ht="15.6" thickTop="1" thickBot="1" x14ac:dyDescent="0.35">
      <c r="A4" s="5" t="s">
        <v>5</v>
      </c>
      <c r="B4" s="5" t="s">
        <v>11</v>
      </c>
      <c r="C4" s="5" t="s">
        <v>7</v>
      </c>
      <c r="D4" s="5" t="s">
        <v>3</v>
      </c>
      <c r="E4" s="5" t="s">
        <v>50</v>
      </c>
      <c r="F4" s="5" t="s">
        <v>51</v>
      </c>
      <c r="G4" s="5" t="s">
        <v>42</v>
      </c>
    </row>
    <row r="5" spans="1:7" ht="22.5" customHeight="1" thickTop="1" thickBot="1" x14ac:dyDescent="0.35">
      <c r="A5" s="6">
        <v>1</v>
      </c>
      <c r="B5" s="4" t="s">
        <v>52</v>
      </c>
      <c r="C5" s="4" t="s">
        <v>53</v>
      </c>
      <c r="D5" s="4">
        <v>247</v>
      </c>
      <c r="E5" s="4">
        <v>304.04000000000002</v>
      </c>
      <c r="F5" s="4">
        <v>57</v>
      </c>
      <c r="G5" s="7">
        <v>10666820</v>
      </c>
    </row>
    <row r="6" spans="1:7" ht="15" thickTop="1" x14ac:dyDescent="0.3"/>
  </sheetData>
  <mergeCells count="1">
    <mergeCell ref="A1:G1"/>
  </mergeCells>
  <pageMargins left="0.7" right="0.7" top="0.75" bottom="0.75" header="0.3" footer="0.3"/>
  <pageSetup fitToWidth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BA8D-785F-4FCE-96F7-09390F0A6AF7}">
  <sheetPr>
    <pageSetUpPr fitToPage="1"/>
  </sheetPr>
  <dimension ref="A1:G7"/>
  <sheetViews>
    <sheetView workbookViewId="0">
      <selection activeCell="C11" sqref="C11"/>
    </sheetView>
  </sheetViews>
  <sheetFormatPr defaultRowHeight="14.4" x14ac:dyDescent="0.3"/>
  <cols>
    <col min="1" max="1" width="6.44140625" bestFit="1" customWidth="1"/>
    <col min="2" max="2" width="17.6640625" customWidth="1"/>
    <col min="3" max="3" width="18.5546875" bestFit="1" customWidth="1"/>
    <col min="4" max="4" width="12" bestFit="1" customWidth="1"/>
    <col min="5" max="5" width="13.88671875" bestFit="1" customWidth="1"/>
    <col min="6" max="6" width="19.109375" bestFit="1" customWidth="1"/>
    <col min="7" max="7" width="17.6640625" customWidth="1"/>
  </cols>
  <sheetData>
    <row r="1" spans="1:7" ht="35.25" customHeight="1" thickTop="1" thickBot="1" x14ac:dyDescent="0.35">
      <c r="A1" s="263" t="s">
        <v>41</v>
      </c>
      <c r="B1" s="263"/>
      <c r="C1" s="263"/>
      <c r="D1" s="263"/>
      <c r="E1" s="263"/>
      <c r="F1" s="263"/>
      <c r="G1" s="263"/>
    </row>
    <row r="2" spans="1:7" ht="15" thickTop="1" x14ac:dyDescent="0.3"/>
    <row r="4" spans="1:7" ht="15" thickBot="1" x14ac:dyDescent="0.35">
      <c r="A4" s="47" t="s">
        <v>20</v>
      </c>
      <c r="B4" s="48" t="s">
        <v>16</v>
      </c>
      <c r="C4" s="48" t="s">
        <v>21</v>
      </c>
      <c r="D4" s="48" t="s">
        <v>0</v>
      </c>
      <c r="E4" s="48" t="s">
        <v>9</v>
      </c>
      <c r="F4" s="48" t="s">
        <v>18</v>
      </c>
      <c r="G4" s="49" t="s">
        <v>10</v>
      </c>
    </row>
    <row r="5" spans="1:7" ht="22.2" customHeight="1" thickTop="1" thickBot="1" x14ac:dyDescent="0.35">
      <c r="A5" s="22">
        <v>1</v>
      </c>
      <c r="B5" s="12"/>
      <c r="C5" s="12"/>
      <c r="D5" s="52"/>
      <c r="E5" s="12"/>
      <c r="F5" s="12"/>
      <c r="G5" s="23"/>
    </row>
    <row r="6" spans="1:7" ht="22.2" customHeight="1" thickTop="1" x14ac:dyDescent="0.3">
      <c r="A6" s="50"/>
      <c r="B6" s="61">
        <f>SUBTOTAL(103,Table12[Unit Name])</f>
        <v>0</v>
      </c>
      <c r="C6" s="51"/>
      <c r="D6" s="51"/>
      <c r="E6" s="51"/>
      <c r="F6" s="51"/>
      <c r="G6" s="62">
        <f>SUBTOTAL(109,Table12[Total Unit Price])</f>
        <v>0</v>
      </c>
    </row>
    <row r="7" spans="1:7" x14ac:dyDescent="0.3">
      <c r="A7" s="1"/>
      <c r="B7" s="1"/>
      <c r="C7" s="1"/>
      <c r="D7" s="1"/>
      <c r="E7" s="1"/>
      <c r="F7" s="1"/>
      <c r="G7" s="1"/>
    </row>
  </sheetData>
  <mergeCells count="1">
    <mergeCell ref="A1:G1"/>
  </mergeCells>
  <conditionalFormatting sqref="C1">
    <cfRule type="duplicateValues" dxfId="279" priority="1"/>
    <cfRule type="duplicateValues" dxfId="278" priority="2"/>
    <cfRule type="duplicateValues" dxfId="277" priority="3"/>
    <cfRule type="duplicateValues" dxfId="276" priority="4"/>
    <cfRule type="duplicateValues" dxfId="275" priority="5"/>
    <cfRule type="duplicateValues" dxfId="274" priority="6"/>
  </conditionalFormatting>
  <pageMargins left="0.7" right="0.7" top="0.75" bottom="0.75" header="0.3" footer="0.3"/>
  <pageSetup scale="85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9F89D-3C41-4929-AA18-2B34DAC17074}">
  <sheetPr>
    <pageSetUpPr fitToPage="1"/>
  </sheetPr>
  <dimension ref="A1:J19"/>
  <sheetViews>
    <sheetView zoomScale="98" workbookViewId="0">
      <selection activeCell="D13" sqref="D13"/>
    </sheetView>
  </sheetViews>
  <sheetFormatPr defaultColWidth="9.44140625" defaultRowHeight="14.4" x14ac:dyDescent="0.3"/>
  <cols>
    <col min="1" max="1" width="6.88671875" style="1" customWidth="1"/>
    <col min="2" max="2" width="17.109375" style="1" customWidth="1"/>
    <col min="3" max="3" width="21.5546875" style="1" customWidth="1"/>
    <col min="4" max="4" width="14.33203125" style="1" bestFit="1" customWidth="1"/>
    <col min="5" max="5" width="16.109375" style="1" bestFit="1" customWidth="1"/>
    <col min="6" max="6" width="21.44140625" style="1" bestFit="1" customWidth="1"/>
    <col min="7" max="7" width="19.109375" style="1" bestFit="1" customWidth="1"/>
    <col min="8" max="8" width="24.88671875" style="1" bestFit="1" customWidth="1"/>
    <col min="9" max="16384" width="9.44140625" style="1"/>
  </cols>
  <sheetData>
    <row r="1" spans="1:10" ht="25.95" customHeight="1" thickTop="1" thickBot="1" x14ac:dyDescent="0.35">
      <c r="A1" s="264" t="s">
        <v>27</v>
      </c>
      <c r="B1" s="265"/>
      <c r="C1" s="265"/>
      <c r="D1" s="265"/>
      <c r="E1" s="265"/>
      <c r="F1" s="265"/>
      <c r="G1" s="265"/>
      <c r="H1" s="266"/>
    </row>
    <row r="2" spans="1:10" ht="7.2" customHeight="1" thickTop="1" x14ac:dyDescent="0.3">
      <c r="A2" s="20"/>
      <c r="B2" s="20"/>
      <c r="C2" s="20"/>
      <c r="D2" s="20"/>
      <c r="E2" s="20"/>
      <c r="F2" s="20"/>
      <c r="G2" s="20"/>
      <c r="H2" s="20"/>
    </row>
    <row r="3" spans="1:10" ht="6.6" customHeight="1" x14ac:dyDescent="0.3">
      <c r="A3" s="20"/>
      <c r="B3" s="20"/>
      <c r="C3" s="20"/>
      <c r="D3" s="20"/>
      <c r="E3" s="20"/>
      <c r="F3" s="20"/>
      <c r="G3" s="20"/>
      <c r="H3" s="20"/>
    </row>
    <row r="4" spans="1:10" ht="18.600000000000001" customHeight="1" thickBot="1" x14ac:dyDescent="0.35">
      <c r="A4" s="36" t="s">
        <v>20</v>
      </c>
      <c r="B4" s="37" t="s">
        <v>23</v>
      </c>
      <c r="C4" s="37" t="s">
        <v>21</v>
      </c>
      <c r="D4" s="37" t="s">
        <v>0</v>
      </c>
      <c r="E4" s="37" t="s">
        <v>9</v>
      </c>
      <c r="F4" s="37" t="s">
        <v>18</v>
      </c>
      <c r="G4" s="37" t="s">
        <v>22</v>
      </c>
      <c r="H4" s="38" t="s">
        <v>68</v>
      </c>
    </row>
    <row r="5" spans="1:10" ht="21.6" customHeight="1" thickTop="1" thickBot="1" x14ac:dyDescent="0.35">
      <c r="A5" s="54"/>
      <c r="B5" s="10"/>
      <c r="C5" s="10"/>
      <c r="D5" s="46"/>
      <c r="E5" s="46"/>
      <c r="F5" s="46"/>
      <c r="G5" s="46"/>
      <c r="H5" s="53"/>
    </row>
    <row r="6" spans="1:10" ht="25.2" customHeight="1" thickTop="1" thickBot="1" x14ac:dyDescent="0.35">
      <c r="A6" s="54"/>
      <c r="B6" s="10"/>
      <c r="C6" s="10"/>
      <c r="D6" s="46"/>
      <c r="E6" s="46"/>
      <c r="F6" s="46"/>
      <c r="G6" s="46"/>
      <c r="H6" s="53"/>
    </row>
    <row r="7" spans="1:10" ht="25.2" customHeight="1" thickTop="1" x14ac:dyDescent="0.3">
      <c r="A7" s="55"/>
      <c r="B7" s="60">
        <f>SUBTOTAL(103,Table3[Unit])</f>
        <v>0</v>
      </c>
      <c r="C7" s="56"/>
      <c r="D7" s="57"/>
      <c r="E7" s="57"/>
      <c r="F7" s="57"/>
      <c r="G7" s="57"/>
      <c r="H7" s="63">
        <f>SUM(H5:H6)</f>
        <v>0</v>
      </c>
      <c r="I7" s="3"/>
      <c r="J7" s="3"/>
    </row>
    <row r="8" spans="1:10" x14ac:dyDescent="0.3">
      <c r="G8" s="3"/>
      <c r="H8" s="3"/>
      <c r="I8" s="3"/>
      <c r="J8" s="3"/>
    </row>
    <row r="9" spans="1:10" x14ac:dyDescent="0.3">
      <c r="G9" s="3"/>
      <c r="H9" s="3"/>
      <c r="I9" s="3"/>
      <c r="J9" s="3"/>
    </row>
    <row r="10" spans="1:10" x14ac:dyDescent="0.3">
      <c r="G10" s="3"/>
      <c r="H10" s="3"/>
      <c r="I10" s="3"/>
      <c r="J10" s="3"/>
    </row>
    <row r="11" spans="1:10" x14ac:dyDescent="0.3">
      <c r="G11" s="3"/>
      <c r="H11" s="3"/>
      <c r="I11" s="3"/>
      <c r="J11" s="3"/>
    </row>
    <row r="12" spans="1:10" x14ac:dyDescent="0.3">
      <c r="G12" s="3"/>
      <c r="H12" s="3"/>
      <c r="I12" s="3"/>
      <c r="J12" s="3"/>
    </row>
    <row r="13" spans="1:10" x14ac:dyDescent="0.3">
      <c r="G13" s="3"/>
      <c r="H13" s="3"/>
      <c r="I13" s="3"/>
      <c r="J13" s="3"/>
    </row>
    <row r="14" spans="1:10" x14ac:dyDescent="0.3">
      <c r="G14" s="3"/>
      <c r="H14" s="3"/>
      <c r="I14" s="3"/>
      <c r="J14" s="3"/>
    </row>
    <row r="15" spans="1:10" x14ac:dyDescent="0.3">
      <c r="G15" s="3"/>
      <c r="H15" s="3"/>
      <c r="I15" s="3"/>
      <c r="J15" s="3"/>
    </row>
    <row r="16" spans="1:10" x14ac:dyDescent="0.3">
      <c r="G16" s="3"/>
      <c r="H16" s="3"/>
      <c r="I16" s="3"/>
      <c r="J16" s="3"/>
    </row>
    <row r="17" spans="7:10" x14ac:dyDescent="0.3">
      <c r="G17" s="3"/>
      <c r="H17" s="3"/>
      <c r="I17" s="3"/>
      <c r="J17" s="3"/>
    </row>
    <row r="18" spans="7:10" x14ac:dyDescent="0.3">
      <c r="G18" s="3"/>
      <c r="H18" s="3"/>
      <c r="I18" s="3"/>
      <c r="J18" s="3"/>
    </row>
    <row r="19" spans="7:10" x14ac:dyDescent="0.3">
      <c r="G19" s="3"/>
      <c r="H19" s="3"/>
      <c r="I19" s="3"/>
      <c r="J19" s="3"/>
    </row>
  </sheetData>
  <mergeCells count="1">
    <mergeCell ref="A1:H1"/>
  </mergeCells>
  <conditionalFormatting sqref="B1:B1048576">
    <cfRule type="duplicateValues" dxfId="273" priority="1"/>
  </conditionalFormatting>
  <conditionalFormatting sqref="B7:B1048576 B1:B5">
    <cfRule type="duplicateValues" dxfId="272" priority="2"/>
  </conditionalFormatting>
  <pageMargins left="0.7" right="0.7" top="0.75" bottom="0.75" header="0.3" footer="0.3"/>
  <pageSetup scale="63" orientation="portrait" r:id="rId1"/>
  <headerFooter>
    <oddHeader>&amp;R&amp;D</oddHead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40F3E-E867-45BC-8545-EF577B80D721}">
  <sheetPr>
    <pageSetUpPr fitToPage="1"/>
  </sheetPr>
  <dimension ref="A1:I14"/>
  <sheetViews>
    <sheetView view="pageBreakPreview" zoomScale="104" zoomScaleNormal="100" workbookViewId="0">
      <selection activeCell="B4" sqref="B4:I12"/>
    </sheetView>
  </sheetViews>
  <sheetFormatPr defaultRowHeight="14.4" x14ac:dyDescent="0.3"/>
  <cols>
    <col min="1" max="1" width="5.109375" customWidth="1"/>
    <col min="2" max="2" width="16" bestFit="1" customWidth="1"/>
    <col min="3" max="3" width="13" customWidth="1"/>
    <col min="4" max="4" width="9.109375" bestFit="1" customWidth="1"/>
    <col min="5" max="5" width="11.44140625" bestFit="1" customWidth="1"/>
    <col min="6" max="6" width="13.109375" customWidth="1"/>
    <col min="7" max="7" width="9.33203125" bestFit="1" customWidth="1"/>
    <col min="8" max="8" width="19.6640625" customWidth="1"/>
    <col min="9" max="9" width="16.6640625" customWidth="1"/>
  </cols>
  <sheetData>
    <row r="1" spans="1:9" s="1" customFormat="1" ht="42.6" customHeight="1" x14ac:dyDescent="0.3">
      <c r="A1" s="268" t="s">
        <v>97</v>
      </c>
      <c r="B1" s="268"/>
      <c r="C1" s="268"/>
      <c r="D1" s="268"/>
      <c r="E1" s="268"/>
      <c r="F1" s="268"/>
      <c r="G1" s="268"/>
      <c r="H1" s="268"/>
      <c r="I1" s="269"/>
    </row>
    <row r="2" spans="1:9" s="8" customFormat="1" ht="15.6" customHeight="1" x14ac:dyDescent="0.3">
      <c r="A2" s="267"/>
      <c r="B2" s="267"/>
      <c r="C2" s="267"/>
      <c r="D2" s="267"/>
      <c r="E2" s="267"/>
      <c r="F2" s="267"/>
      <c r="G2" s="267"/>
      <c r="H2" s="267"/>
      <c r="I2" s="267"/>
    </row>
    <row r="3" spans="1:9" s="1" customFormat="1" ht="36.6" customHeight="1" thickBot="1" x14ac:dyDescent="0.35">
      <c r="A3" s="36" t="s">
        <v>5</v>
      </c>
      <c r="B3" s="97" t="s">
        <v>16</v>
      </c>
      <c r="C3" s="97" t="s">
        <v>7</v>
      </c>
      <c r="D3" s="97" t="s">
        <v>17</v>
      </c>
      <c r="E3" s="97" t="s">
        <v>9</v>
      </c>
      <c r="F3" s="97" t="s">
        <v>18</v>
      </c>
      <c r="G3" s="98" t="s">
        <v>4</v>
      </c>
      <c r="H3" s="98" t="s">
        <v>10</v>
      </c>
      <c r="I3" s="99" t="s">
        <v>98</v>
      </c>
    </row>
    <row r="4" spans="1:9" s="1" customFormat="1" ht="22.2" customHeight="1" thickTop="1" thickBot="1" x14ac:dyDescent="0.35">
      <c r="A4" s="14">
        <v>1</v>
      </c>
      <c r="B4" s="10"/>
      <c r="C4" s="46"/>
      <c r="D4" s="10"/>
      <c r="E4" s="10"/>
      <c r="F4" s="10"/>
      <c r="G4" s="101"/>
      <c r="H4" s="85"/>
      <c r="I4" s="64"/>
    </row>
    <row r="5" spans="1:9" s="1" customFormat="1" ht="22.2" customHeight="1" thickTop="1" thickBot="1" x14ac:dyDescent="0.35">
      <c r="A5" s="14">
        <v>2</v>
      </c>
      <c r="B5" s="10"/>
      <c r="C5" s="46"/>
      <c r="D5" s="10"/>
      <c r="E5" s="10"/>
      <c r="F5" s="10"/>
      <c r="G5" s="101"/>
      <c r="H5" s="85"/>
      <c r="I5" s="64"/>
    </row>
    <row r="6" spans="1:9" s="1" customFormat="1" ht="22.2" customHeight="1" thickTop="1" thickBot="1" x14ac:dyDescent="0.35">
      <c r="A6" s="14">
        <v>3</v>
      </c>
      <c r="B6" s="10"/>
      <c r="C6" s="46"/>
      <c r="D6" s="10"/>
      <c r="E6" s="10"/>
      <c r="F6" s="10"/>
      <c r="G6" s="101"/>
      <c r="H6" s="85"/>
      <c r="I6" s="64"/>
    </row>
    <row r="7" spans="1:9" s="1" customFormat="1" ht="22.2" customHeight="1" thickTop="1" thickBot="1" x14ac:dyDescent="0.35">
      <c r="A7" s="14">
        <v>4</v>
      </c>
      <c r="B7" s="10"/>
      <c r="C7" s="46"/>
      <c r="D7" s="10"/>
      <c r="E7" s="10"/>
      <c r="F7" s="10"/>
      <c r="G7" s="101"/>
      <c r="H7" s="85"/>
      <c r="I7" s="64"/>
    </row>
    <row r="8" spans="1:9" s="1" customFormat="1" ht="22.2" customHeight="1" thickTop="1" thickBot="1" x14ac:dyDescent="0.35">
      <c r="A8" s="14">
        <v>5</v>
      </c>
      <c r="B8" s="10"/>
      <c r="C8" s="46"/>
      <c r="D8" s="10"/>
      <c r="E8" s="10"/>
      <c r="F8" s="10"/>
      <c r="G8" s="101"/>
      <c r="H8" s="85"/>
      <c r="I8" s="64"/>
    </row>
    <row r="9" spans="1:9" s="1" customFormat="1" ht="22.2" customHeight="1" thickTop="1" thickBot="1" x14ac:dyDescent="0.35">
      <c r="A9" s="14">
        <v>6</v>
      </c>
      <c r="B9" s="10"/>
      <c r="C9" s="46"/>
      <c r="D9" s="10"/>
      <c r="E9" s="10"/>
      <c r="F9" s="10"/>
      <c r="G9" s="101"/>
      <c r="H9" s="85"/>
      <c r="I9" s="64"/>
    </row>
    <row r="10" spans="1:9" s="1" customFormat="1" ht="22.2" customHeight="1" thickTop="1" thickBot="1" x14ac:dyDescent="0.35">
      <c r="A10" s="14">
        <v>7</v>
      </c>
      <c r="B10" s="10"/>
      <c r="C10" s="46"/>
      <c r="D10" s="10"/>
      <c r="E10" s="10"/>
      <c r="F10" s="10"/>
      <c r="G10" s="101"/>
      <c r="H10" s="85"/>
      <c r="I10" s="64"/>
    </row>
    <row r="11" spans="1:9" s="1" customFormat="1" ht="22.2" customHeight="1" thickTop="1" thickBot="1" x14ac:dyDescent="0.35">
      <c r="A11" s="14">
        <v>8</v>
      </c>
      <c r="B11" s="84"/>
      <c r="C11" s="84"/>
      <c r="D11" s="84"/>
      <c r="E11" s="84"/>
      <c r="F11" s="84"/>
      <c r="G11" s="102"/>
      <c r="H11" s="85"/>
      <c r="I11" s="96"/>
    </row>
    <row r="12" spans="1:9" s="1" customFormat="1" ht="22.2" customHeight="1" thickTop="1" thickBot="1" x14ac:dyDescent="0.35">
      <c r="A12" s="14">
        <v>9</v>
      </c>
      <c r="B12" s="84"/>
      <c r="C12" s="84"/>
      <c r="D12" s="84"/>
      <c r="E12" s="84"/>
      <c r="F12" s="84"/>
      <c r="G12" s="102"/>
      <c r="H12" s="85"/>
      <c r="I12" s="96"/>
    </row>
    <row r="13" spans="1:9" ht="22.2" customHeight="1" thickTop="1" thickBot="1" x14ac:dyDescent="0.35">
      <c r="A13" s="15"/>
      <c r="B13" s="60">
        <f>SUBTOTAL(103,Table96[Unit Name])</f>
        <v>0</v>
      </c>
      <c r="C13" s="17"/>
      <c r="D13" s="17"/>
      <c r="E13" s="17"/>
      <c r="F13" s="18"/>
      <c r="G13" s="16"/>
      <c r="H13" s="95">
        <f>SUBTOTAL(109,Table96[Total Unit Price])</f>
        <v>0</v>
      </c>
      <c r="I13" s="64"/>
    </row>
    <row r="14" spans="1:9" ht="15" thickTop="1" x14ac:dyDescent="0.3"/>
  </sheetData>
  <mergeCells count="2">
    <mergeCell ref="A2:I2"/>
    <mergeCell ref="A1:I1"/>
  </mergeCells>
  <conditionalFormatting sqref="A4:A12">
    <cfRule type="duplicateValues" dxfId="271" priority="4660"/>
  </conditionalFormatting>
  <conditionalFormatting sqref="B3:B13">
    <cfRule type="duplicateValues" dxfId="270" priority="4661"/>
  </conditionalFormatting>
  <conditionalFormatting sqref="B4:B12">
    <cfRule type="duplicateValues" dxfId="269" priority="4663"/>
  </conditionalFormatting>
  <conditionalFormatting sqref="B13 B3">
    <cfRule type="duplicateValues" dxfId="268" priority="3"/>
  </conditionalFormatting>
  <conditionalFormatting sqref="B13">
    <cfRule type="duplicateValues" dxfId="267" priority="4"/>
    <cfRule type="duplicateValues" dxfId="266" priority="6"/>
  </conditionalFormatting>
  <conditionalFormatting sqref="C13">
    <cfRule type="duplicateValues" dxfId="265" priority="5"/>
  </conditionalFormatting>
  <pageMargins left="0.70866141732283472" right="0.70866141732283472" top="0.74803149606299213" bottom="0.74803149606299213" header="0.31496062992125984" footer="0.31496062992125984"/>
  <pageSetup orientation="landscape" horizontalDpi="300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ED5A7-876C-4993-8926-96ECF5B928D2}">
  <dimension ref="A1:N130"/>
  <sheetViews>
    <sheetView view="pageBreakPreview" topLeftCell="A18" zoomScale="92" zoomScaleNormal="94" zoomScaleSheetLayoutView="64" workbookViewId="0">
      <selection activeCell="A31" sqref="A31:XFD31"/>
    </sheetView>
  </sheetViews>
  <sheetFormatPr defaultColWidth="18.6640625" defaultRowHeight="14.4" x14ac:dyDescent="0.3"/>
  <cols>
    <col min="1" max="1" width="6.5546875" bestFit="1" customWidth="1"/>
    <col min="2" max="2" width="20.33203125" customWidth="1"/>
    <col min="3" max="3" width="11.88671875" customWidth="1"/>
    <col min="4" max="4" width="23.33203125" customWidth="1"/>
    <col min="5" max="5" width="12.44140625" customWidth="1"/>
    <col min="6" max="6" width="15.6640625" customWidth="1"/>
    <col min="7" max="7" width="18.5546875" customWidth="1"/>
    <col min="8" max="8" width="17.44140625" customWidth="1"/>
    <col min="9" max="9" width="27.21875" customWidth="1"/>
    <col min="11" max="11" width="0" hidden="1" customWidth="1"/>
    <col min="12" max="12" width="18.6640625" hidden="1" customWidth="1"/>
  </cols>
  <sheetData>
    <row r="1" spans="1:14" ht="47.4" customHeight="1" x14ac:dyDescent="0.3">
      <c r="A1" s="270" t="s">
        <v>142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</row>
    <row r="2" spans="1:14" ht="7.8" customHeight="1" x14ac:dyDescent="0.3">
      <c r="A2" s="108"/>
      <c r="B2" s="108"/>
      <c r="C2" s="108"/>
      <c r="D2" s="108"/>
      <c r="E2" s="108"/>
      <c r="F2" s="108"/>
      <c r="G2" s="108"/>
      <c r="H2" s="108"/>
    </row>
    <row r="3" spans="1:14" ht="7.8" customHeight="1" x14ac:dyDescent="0.3">
      <c r="A3" s="108"/>
      <c r="B3" s="108"/>
      <c r="C3" s="108"/>
      <c r="D3" s="108"/>
      <c r="E3" s="108"/>
      <c r="F3" s="108"/>
      <c r="G3" s="108"/>
      <c r="H3" s="108"/>
    </row>
    <row r="4" spans="1:14" ht="25.8" customHeight="1" thickBot="1" x14ac:dyDescent="0.35">
      <c r="A4" s="108"/>
      <c r="B4" s="108"/>
      <c r="C4" s="108"/>
      <c r="D4" s="108"/>
      <c r="E4" s="108"/>
      <c r="F4" s="108"/>
      <c r="G4" s="108"/>
      <c r="H4" s="108"/>
      <c r="I4" s="272" t="s">
        <v>511</v>
      </c>
      <c r="J4" s="272"/>
      <c r="K4" s="272" t="s">
        <v>355</v>
      </c>
      <c r="L4" s="272"/>
    </row>
    <row r="5" spans="1:14" ht="27.6" customHeight="1" thickBot="1" x14ac:dyDescent="0.35">
      <c r="A5" s="174" t="s">
        <v>5</v>
      </c>
      <c r="B5" s="175" t="s">
        <v>11</v>
      </c>
      <c r="C5" s="175" t="s">
        <v>200</v>
      </c>
      <c r="D5" s="175" t="s">
        <v>65</v>
      </c>
      <c r="E5" s="175" t="s">
        <v>143</v>
      </c>
      <c r="F5" s="175" t="s">
        <v>45</v>
      </c>
      <c r="G5" s="175" t="s">
        <v>144</v>
      </c>
      <c r="H5" s="175" t="s">
        <v>51</v>
      </c>
      <c r="I5" s="175" t="s">
        <v>145</v>
      </c>
      <c r="J5" s="175" t="s">
        <v>76</v>
      </c>
      <c r="K5" s="175" t="s">
        <v>145</v>
      </c>
      <c r="L5" s="176" t="s">
        <v>76</v>
      </c>
    </row>
    <row r="6" spans="1:14" ht="18.600000000000001" customHeight="1" thickTop="1" thickBot="1" x14ac:dyDescent="0.35">
      <c r="A6" s="179">
        <f>ROW()-5</f>
        <v>1</v>
      </c>
      <c r="B6" s="161" t="s">
        <v>493</v>
      </c>
      <c r="C6" s="161" t="s">
        <v>243</v>
      </c>
      <c r="D6" s="161" t="s">
        <v>246</v>
      </c>
      <c r="E6" s="161" t="s">
        <v>247</v>
      </c>
      <c r="F6" s="161">
        <v>240</v>
      </c>
      <c r="G6" s="161">
        <v>460.24059999999997</v>
      </c>
      <c r="H6" s="162">
        <v>69</v>
      </c>
      <c r="I6" s="162">
        <v>54692706.43</v>
      </c>
      <c r="J6" s="162">
        <v>2734635.32</v>
      </c>
      <c r="K6" s="162"/>
      <c r="L6" s="178"/>
      <c r="M6" s="215"/>
      <c r="N6" s="216"/>
    </row>
    <row r="7" spans="1:14" ht="18.600000000000001" customHeight="1" thickTop="1" thickBot="1" x14ac:dyDescent="0.35">
      <c r="A7" s="177">
        <f>ROW()-5</f>
        <v>2</v>
      </c>
      <c r="B7" s="161" t="s">
        <v>503</v>
      </c>
      <c r="C7" s="161" t="s">
        <v>243</v>
      </c>
      <c r="D7" s="161" t="s">
        <v>246</v>
      </c>
      <c r="E7" s="161" t="s">
        <v>247</v>
      </c>
      <c r="F7" s="161">
        <v>240</v>
      </c>
      <c r="G7" s="161">
        <v>394.05</v>
      </c>
      <c r="H7" s="162">
        <v>69</v>
      </c>
      <c r="I7" s="162">
        <v>49214108.109999999</v>
      </c>
      <c r="J7" s="162">
        <v>2460705.41</v>
      </c>
      <c r="K7" s="162"/>
      <c r="L7" s="178"/>
      <c r="M7" s="215"/>
      <c r="N7" s="216"/>
    </row>
    <row r="8" spans="1:14" ht="18.600000000000001" customHeight="1" thickTop="1" thickBot="1" x14ac:dyDescent="0.35">
      <c r="A8" s="177">
        <f t="shared" ref="A8:A10" si="0">ROW()-5</f>
        <v>3</v>
      </c>
      <c r="B8" s="161" t="s">
        <v>504</v>
      </c>
      <c r="C8" s="161" t="s">
        <v>243</v>
      </c>
      <c r="D8" s="161" t="s">
        <v>246</v>
      </c>
      <c r="E8" s="161" t="s">
        <v>247</v>
      </c>
      <c r="F8" s="161">
        <v>240</v>
      </c>
      <c r="G8" s="161">
        <v>382.4443</v>
      </c>
      <c r="H8" s="162">
        <v>69</v>
      </c>
      <c r="I8" s="162">
        <v>47190570.670000002</v>
      </c>
      <c r="J8" s="162">
        <v>2359528.5299999998</v>
      </c>
      <c r="K8" s="162">
        <v>25271981.109999999</v>
      </c>
      <c r="L8" s="178">
        <v>1263599.06</v>
      </c>
      <c r="M8" s="215"/>
      <c r="N8" s="216"/>
    </row>
    <row r="9" spans="1:14" ht="18.600000000000001" customHeight="1" thickTop="1" thickBot="1" x14ac:dyDescent="0.35">
      <c r="A9" s="177">
        <f t="shared" si="0"/>
        <v>4</v>
      </c>
      <c r="B9" s="161" t="s">
        <v>505</v>
      </c>
      <c r="C9" s="161" t="s">
        <v>243</v>
      </c>
      <c r="D9" s="161" t="s">
        <v>246</v>
      </c>
      <c r="E9" s="161" t="s">
        <v>247</v>
      </c>
      <c r="F9" s="161">
        <v>240</v>
      </c>
      <c r="G9" s="161">
        <v>379.04410000000001</v>
      </c>
      <c r="H9" s="162">
        <v>69</v>
      </c>
      <c r="I9" s="162">
        <v>45231849.25</v>
      </c>
      <c r="J9" s="162">
        <v>2261592.46</v>
      </c>
      <c r="K9" s="162">
        <v>24542636.84</v>
      </c>
      <c r="L9" s="178">
        <v>1227131.8400000001</v>
      </c>
      <c r="M9" s="215"/>
      <c r="N9" s="216"/>
    </row>
    <row r="10" spans="1:14" ht="18.600000000000001" customHeight="1" thickTop="1" thickBot="1" x14ac:dyDescent="0.35">
      <c r="A10" s="177">
        <f t="shared" si="0"/>
        <v>5</v>
      </c>
      <c r="B10" s="161" t="s">
        <v>394</v>
      </c>
      <c r="C10" s="161" t="s">
        <v>243</v>
      </c>
      <c r="D10" s="161" t="s">
        <v>246</v>
      </c>
      <c r="E10" s="161" t="s">
        <v>247</v>
      </c>
      <c r="F10" s="161">
        <v>240</v>
      </c>
      <c r="G10" s="161">
        <v>365.12200000000001</v>
      </c>
      <c r="H10" s="162">
        <v>69</v>
      </c>
      <c r="I10" s="162">
        <v>42402713.140000001</v>
      </c>
      <c r="J10" s="162">
        <v>2120135.66</v>
      </c>
      <c r="K10" s="162">
        <v>35007305.789999999</v>
      </c>
      <c r="L10" s="178">
        <v>1750365.29</v>
      </c>
      <c r="M10" s="215"/>
      <c r="N10" s="216"/>
    </row>
    <row r="11" spans="1:14" ht="18.600000000000001" customHeight="1" thickTop="1" thickBot="1" x14ac:dyDescent="0.35">
      <c r="A11" s="177">
        <f t="shared" ref="A11:A14" si="1">ROW()-5</f>
        <v>6</v>
      </c>
      <c r="B11" s="161" t="s">
        <v>395</v>
      </c>
      <c r="C11" s="161" t="s">
        <v>243</v>
      </c>
      <c r="D11" s="161" t="s">
        <v>246</v>
      </c>
      <c r="E11" s="161" t="s">
        <v>247</v>
      </c>
      <c r="F11" s="161">
        <v>240</v>
      </c>
      <c r="G11" s="161">
        <v>372.01949999999999</v>
      </c>
      <c r="H11" s="162">
        <v>69</v>
      </c>
      <c r="I11" s="162">
        <v>44330859.600000001</v>
      </c>
      <c r="J11" s="162">
        <v>2216542.98</v>
      </c>
      <c r="K11" s="162">
        <v>38347498.490000002</v>
      </c>
      <c r="L11" s="178">
        <v>1917374.92</v>
      </c>
      <c r="M11" s="215"/>
      <c r="N11" s="216"/>
    </row>
    <row r="12" spans="1:14" ht="18.600000000000001" customHeight="1" thickTop="1" thickBot="1" x14ac:dyDescent="0.35">
      <c r="A12" s="177">
        <f>ROW()-5</f>
        <v>7</v>
      </c>
      <c r="B12" s="161" t="s">
        <v>440</v>
      </c>
      <c r="C12" s="161" t="s">
        <v>243</v>
      </c>
      <c r="D12" s="161" t="s">
        <v>246</v>
      </c>
      <c r="E12" s="161" t="s">
        <v>247</v>
      </c>
      <c r="F12" s="161">
        <v>240</v>
      </c>
      <c r="G12" s="161">
        <v>423.29149999999998</v>
      </c>
      <c r="H12" s="162">
        <v>69</v>
      </c>
      <c r="I12" s="162">
        <v>50693124.439999998</v>
      </c>
      <c r="J12" s="162">
        <v>2534656.2200000002</v>
      </c>
      <c r="K12" s="162"/>
      <c r="L12" s="178"/>
      <c r="M12" s="215"/>
      <c r="N12" s="216"/>
    </row>
    <row r="13" spans="1:14" ht="18.600000000000001" customHeight="1" thickTop="1" thickBot="1" x14ac:dyDescent="0.35">
      <c r="A13" s="177">
        <f t="shared" si="1"/>
        <v>8</v>
      </c>
      <c r="B13" s="161" t="s">
        <v>396</v>
      </c>
      <c r="C13" s="161" t="s">
        <v>243</v>
      </c>
      <c r="D13" s="161" t="s">
        <v>244</v>
      </c>
      <c r="E13" s="161" t="s">
        <v>245</v>
      </c>
      <c r="F13" s="161">
        <v>220</v>
      </c>
      <c r="G13" s="161">
        <v>391.96559999999999</v>
      </c>
      <c r="H13" s="162">
        <v>32</v>
      </c>
      <c r="I13" s="162">
        <v>44877301.43</v>
      </c>
      <c r="J13" s="162">
        <v>2243865.0699999998</v>
      </c>
      <c r="K13" s="162">
        <v>25314350.73</v>
      </c>
      <c r="L13" s="178">
        <v>1265717.54</v>
      </c>
      <c r="M13" s="215"/>
      <c r="N13" s="216"/>
    </row>
    <row r="14" spans="1:14" ht="18.600000000000001" customHeight="1" thickTop="1" thickBot="1" x14ac:dyDescent="0.35">
      <c r="A14" s="177">
        <f t="shared" si="1"/>
        <v>9</v>
      </c>
      <c r="B14" s="161" t="s">
        <v>496</v>
      </c>
      <c r="C14" s="161" t="s">
        <v>243</v>
      </c>
      <c r="D14" s="161" t="s">
        <v>469</v>
      </c>
      <c r="E14" s="161" t="s">
        <v>470</v>
      </c>
      <c r="F14" s="161">
        <v>188</v>
      </c>
      <c r="G14" s="161">
        <v>253.7441</v>
      </c>
      <c r="H14" s="162">
        <v>30</v>
      </c>
      <c r="I14" s="162">
        <v>32056363.739999998</v>
      </c>
      <c r="J14" s="162">
        <v>1602818.19</v>
      </c>
      <c r="K14" s="162">
        <v>27660804.91</v>
      </c>
      <c r="L14" s="178">
        <v>1383040.25</v>
      </c>
      <c r="M14" s="215"/>
      <c r="N14" s="216"/>
    </row>
    <row r="15" spans="1:14" ht="18.600000000000001" customHeight="1" thickTop="1" thickBot="1" x14ac:dyDescent="0.35">
      <c r="A15" s="179">
        <f t="shared" ref="A15" si="2">ROW()-5</f>
        <v>10</v>
      </c>
      <c r="B15" s="161" t="s">
        <v>397</v>
      </c>
      <c r="C15" s="161" t="s">
        <v>243</v>
      </c>
      <c r="D15" s="161" t="s">
        <v>148</v>
      </c>
      <c r="E15" s="161" t="s">
        <v>248</v>
      </c>
      <c r="F15" s="161">
        <v>188</v>
      </c>
      <c r="G15" s="161">
        <v>262.7149</v>
      </c>
      <c r="H15" s="162">
        <v>30</v>
      </c>
      <c r="I15" s="162">
        <v>35027752.950000003</v>
      </c>
      <c r="J15" s="162">
        <v>1751387.65</v>
      </c>
      <c r="K15" s="211"/>
      <c r="L15" s="212"/>
      <c r="M15" s="215"/>
      <c r="N15" s="216"/>
    </row>
    <row r="16" spans="1:14" ht="18.600000000000001" customHeight="1" thickTop="1" thickBot="1" x14ac:dyDescent="0.35">
      <c r="A16" s="179">
        <f t="shared" ref="A16" si="3">ROW()-5</f>
        <v>11</v>
      </c>
      <c r="B16" s="161" t="s">
        <v>249</v>
      </c>
      <c r="C16" s="161" t="s">
        <v>243</v>
      </c>
      <c r="D16" s="161" t="s">
        <v>250</v>
      </c>
      <c r="E16" s="161" t="s">
        <v>251</v>
      </c>
      <c r="F16" s="161">
        <v>175</v>
      </c>
      <c r="G16" s="161">
        <v>296.95659999999998</v>
      </c>
      <c r="H16" s="162">
        <v>43</v>
      </c>
      <c r="I16" s="162">
        <v>30670160.629999999</v>
      </c>
      <c r="J16" s="162">
        <v>1533508.03</v>
      </c>
      <c r="K16" s="211"/>
      <c r="L16" s="212"/>
      <c r="M16" s="215"/>
      <c r="N16" s="216"/>
    </row>
    <row r="17" spans="1:14" ht="18.600000000000001" customHeight="1" thickTop="1" thickBot="1" x14ac:dyDescent="0.35">
      <c r="A17" s="179">
        <f t="shared" ref="A17:A21" si="4">ROW()-5</f>
        <v>12</v>
      </c>
      <c r="B17" s="161" t="s">
        <v>258</v>
      </c>
      <c r="C17" s="161" t="s">
        <v>243</v>
      </c>
      <c r="D17" s="161" t="s">
        <v>252</v>
      </c>
      <c r="E17" s="161" t="s">
        <v>253</v>
      </c>
      <c r="F17" s="161">
        <v>165</v>
      </c>
      <c r="G17" s="161">
        <v>153.49889999999999</v>
      </c>
      <c r="H17" s="162">
        <v>30</v>
      </c>
      <c r="I17" s="162">
        <v>23682501.129999999</v>
      </c>
      <c r="J17" s="162">
        <v>1184125.06</v>
      </c>
      <c r="K17" s="211"/>
      <c r="L17" s="212"/>
      <c r="M17" s="215"/>
      <c r="N17" s="216"/>
    </row>
    <row r="18" spans="1:14" ht="18.600000000000001" customHeight="1" thickTop="1" thickBot="1" x14ac:dyDescent="0.35">
      <c r="A18" s="179">
        <f t="shared" si="4"/>
        <v>13</v>
      </c>
      <c r="B18" s="161" t="s">
        <v>368</v>
      </c>
      <c r="C18" s="161" t="s">
        <v>243</v>
      </c>
      <c r="D18" s="161" t="s">
        <v>254</v>
      </c>
      <c r="E18" s="161" t="s">
        <v>255</v>
      </c>
      <c r="F18" s="161">
        <v>195</v>
      </c>
      <c r="G18" s="161">
        <v>319.03429999999997</v>
      </c>
      <c r="H18" s="162">
        <v>30</v>
      </c>
      <c r="I18" s="162">
        <v>38479333.149999999</v>
      </c>
      <c r="J18" s="162">
        <v>1923966.66</v>
      </c>
      <c r="K18" s="211"/>
      <c r="L18" s="212"/>
      <c r="M18" s="215"/>
      <c r="N18" s="216"/>
    </row>
    <row r="19" spans="1:14" ht="18.600000000000001" customHeight="1" thickTop="1" thickBot="1" x14ac:dyDescent="0.35">
      <c r="A19" s="179">
        <f t="shared" si="4"/>
        <v>14</v>
      </c>
      <c r="B19" s="161" t="s">
        <v>256</v>
      </c>
      <c r="C19" s="161" t="s">
        <v>243</v>
      </c>
      <c r="D19" s="161" t="s">
        <v>254</v>
      </c>
      <c r="E19" s="161" t="s">
        <v>255</v>
      </c>
      <c r="F19" s="161">
        <v>195</v>
      </c>
      <c r="G19" s="161">
        <v>332.74630000000002</v>
      </c>
      <c r="H19" s="162">
        <v>30</v>
      </c>
      <c r="I19" s="162">
        <v>39587895.899999999</v>
      </c>
      <c r="J19" s="162">
        <v>1979394.79</v>
      </c>
      <c r="K19" s="211"/>
      <c r="L19" s="212"/>
      <c r="M19" s="215"/>
      <c r="N19" s="216"/>
    </row>
    <row r="20" spans="1:14" ht="18.600000000000001" customHeight="1" thickTop="1" thickBot="1" x14ac:dyDescent="0.35">
      <c r="A20" s="179">
        <f t="shared" si="4"/>
        <v>15</v>
      </c>
      <c r="B20" s="161" t="s">
        <v>506</v>
      </c>
      <c r="C20" s="161" t="s">
        <v>243</v>
      </c>
      <c r="D20" s="161" t="s">
        <v>469</v>
      </c>
      <c r="E20" s="161" t="s">
        <v>470</v>
      </c>
      <c r="F20" s="161">
        <v>188</v>
      </c>
      <c r="G20" s="161">
        <v>232.6086</v>
      </c>
      <c r="H20" s="162">
        <v>30</v>
      </c>
      <c r="I20" s="162">
        <v>31500508.399999999</v>
      </c>
      <c r="J20" s="162">
        <v>1575025.42</v>
      </c>
      <c r="K20" s="211"/>
      <c r="L20" s="212"/>
      <c r="M20" s="215"/>
      <c r="N20" s="216"/>
    </row>
    <row r="21" spans="1:14" ht="18.600000000000001" customHeight="1" thickTop="1" thickBot="1" x14ac:dyDescent="0.35">
      <c r="A21" s="179">
        <f t="shared" si="4"/>
        <v>16</v>
      </c>
      <c r="B21" s="161" t="s">
        <v>507</v>
      </c>
      <c r="C21" s="161" t="s">
        <v>243</v>
      </c>
      <c r="D21" s="161" t="s">
        <v>469</v>
      </c>
      <c r="E21" s="161" t="s">
        <v>470</v>
      </c>
      <c r="F21" s="161">
        <v>188</v>
      </c>
      <c r="G21" s="161">
        <v>240.1223</v>
      </c>
      <c r="H21" s="162">
        <v>30</v>
      </c>
      <c r="I21" s="162">
        <v>31010532.420000002</v>
      </c>
      <c r="J21" s="162">
        <v>1550526.62</v>
      </c>
      <c r="K21" s="211"/>
      <c r="L21" s="212"/>
      <c r="M21" s="215"/>
      <c r="N21" s="216"/>
    </row>
    <row r="22" spans="1:14" ht="18.600000000000001" customHeight="1" thickTop="1" thickBot="1" x14ac:dyDescent="0.35">
      <c r="A22" s="179">
        <f t="shared" ref="A22:A30" si="5">ROW()-5</f>
        <v>17</v>
      </c>
      <c r="B22" s="161" t="s">
        <v>468</v>
      </c>
      <c r="C22" s="161" t="s">
        <v>243</v>
      </c>
      <c r="D22" s="161" t="s">
        <v>469</v>
      </c>
      <c r="E22" s="161" t="s">
        <v>470</v>
      </c>
      <c r="F22" s="161">
        <v>188</v>
      </c>
      <c r="G22" s="161">
        <v>244.05189999999999</v>
      </c>
      <c r="H22" s="162">
        <v>30</v>
      </c>
      <c r="I22" s="162">
        <v>33500218.02</v>
      </c>
      <c r="J22" s="162">
        <v>1675010.9</v>
      </c>
      <c r="K22" s="211"/>
      <c r="L22" s="212"/>
      <c r="M22" s="215"/>
      <c r="N22" s="216"/>
    </row>
    <row r="23" spans="1:14" ht="18.600000000000001" customHeight="1" thickTop="1" thickBot="1" x14ac:dyDescent="0.35">
      <c r="A23" s="179">
        <f t="shared" si="5"/>
        <v>18</v>
      </c>
      <c r="B23" s="161" t="s">
        <v>471</v>
      </c>
      <c r="C23" s="161" t="s">
        <v>243</v>
      </c>
      <c r="D23" s="161" t="s">
        <v>148</v>
      </c>
      <c r="E23" s="161" t="s">
        <v>248</v>
      </c>
      <c r="F23" s="161">
        <v>188</v>
      </c>
      <c r="G23" s="161">
        <v>232.61199999999999</v>
      </c>
      <c r="H23" s="162">
        <v>30</v>
      </c>
      <c r="I23" s="162">
        <v>33254705.57</v>
      </c>
      <c r="J23" s="162">
        <v>1662735.28</v>
      </c>
      <c r="K23" s="211"/>
      <c r="L23" s="212"/>
      <c r="M23" s="215"/>
      <c r="N23" s="216"/>
    </row>
    <row r="24" spans="1:14" ht="18.600000000000001" customHeight="1" thickTop="1" thickBot="1" x14ac:dyDescent="0.35">
      <c r="A24" s="179">
        <f t="shared" si="5"/>
        <v>19</v>
      </c>
      <c r="B24" s="161" t="s">
        <v>472</v>
      </c>
      <c r="C24" s="161" t="s">
        <v>243</v>
      </c>
      <c r="D24" s="161" t="s">
        <v>469</v>
      </c>
      <c r="E24" s="161" t="s">
        <v>470</v>
      </c>
      <c r="F24" s="161">
        <v>188</v>
      </c>
      <c r="G24" s="161">
        <v>244.18119999999999</v>
      </c>
      <c r="H24" s="162">
        <v>30</v>
      </c>
      <c r="I24" s="162">
        <v>33511167.68</v>
      </c>
      <c r="J24" s="162">
        <v>1675558.38</v>
      </c>
      <c r="K24" s="211"/>
      <c r="L24" s="212"/>
      <c r="M24" s="215"/>
      <c r="N24" s="216"/>
    </row>
    <row r="25" spans="1:14" ht="18.600000000000001" customHeight="1" thickTop="1" thickBot="1" x14ac:dyDescent="0.35">
      <c r="A25" s="179">
        <f t="shared" si="5"/>
        <v>20</v>
      </c>
      <c r="B25" s="161" t="s">
        <v>508</v>
      </c>
      <c r="C25" s="161" t="s">
        <v>243</v>
      </c>
      <c r="D25" s="161" t="s">
        <v>148</v>
      </c>
      <c r="E25" s="161" t="s">
        <v>248</v>
      </c>
      <c r="F25" s="161">
        <v>188</v>
      </c>
      <c r="G25" s="161">
        <v>236.0446</v>
      </c>
      <c r="H25" s="162">
        <v>30</v>
      </c>
      <c r="I25" s="162">
        <v>32822126.940000001</v>
      </c>
      <c r="J25" s="162">
        <v>1641106.35</v>
      </c>
      <c r="K25" s="211"/>
      <c r="L25" s="212"/>
      <c r="M25" s="215"/>
      <c r="N25" s="216"/>
    </row>
    <row r="26" spans="1:14" ht="18.600000000000001" customHeight="1" thickTop="1" thickBot="1" x14ac:dyDescent="0.35">
      <c r="A26" s="179">
        <f t="shared" si="5"/>
        <v>21</v>
      </c>
      <c r="B26" s="161" t="s">
        <v>473</v>
      </c>
      <c r="C26" s="161" t="s">
        <v>243</v>
      </c>
      <c r="D26" s="161" t="s">
        <v>469</v>
      </c>
      <c r="E26" s="161" t="s">
        <v>470</v>
      </c>
      <c r="F26" s="161">
        <v>188</v>
      </c>
      <c r="G26" s="161">
        <v>244.28960000000001</v>
      </c>
      <c r="H26" s="162">
        <v>30</v>
      </c>
      <c r="I26" s="162">
        <v>33946205.43</v>
      </c>
      <c r="J26" s="162">
        <v>1697310.27</v>
      </c>
      <c r="K26" s="211"/>
      <c r="L26" s="212"/>
      <c r="M26" s="215"/>
      <c r="N26" s="216"/>
    </row>
    <row r="27" spans="1:14" ht="18.600000000000001" customHeight="1" thickTop="1" thickBot="1" x14ac:dyDescent="0.35">
      <c r="A27" s="179">
        <f t="shared" si="5"/>
        <v>22</v>
      </c>
      <c r="B27" s="161" t="s">
        <v>474</v>
      </c>
      <c r="C27" s="161" t="s">
        <v>243</v>
      </c>
      <c r="D27" s="161" t="s">
        <v>148</v>
      </c>
      <c r="E27" s="161" t="s">
        <v>248</v>
      </c>
      <c r="F27" s="161">
        <v>188</v>
      </c>
      <c r="G27" s="161">
        <v>237.3</v>
      </c>
      <c r="H27" s="162">
        <v>30</v>
      </c>
      <c r="I27" s="162">
        <v>33346777.5</v>
      </c>
      <c r="J27" s="162">
        <v>1667338.87</v>
      </c>
      <c r="K27" s="211"/>
      <c r="L27" s="212"/>
      <c r="M27" s="215"/>
      <c r="N27" s="216"/>
    </row>
    <row r="28" spans="1:14" ht="18.600000000000001" customHeight="1" thickTop="1" thickBot="1" x14ac:dyDescent="0.35">
      <c r="A28" s="179">
        <f t="shared" si="5"/>
        <v>23</v>
      </c>
      <c r="B28" s="161" t="s">
        <v>510</v>
      </c>
      <c r="C28" s="161" t="s">
        <v>243</v>
      </c>
      <c r="D28" s="161" t="s">
        <v>252</v>
      </c>
      <c r="E28" s="161" t="s">
        <v>509</v>
      </c>
      <c r="F28" s="161">
        <v>165</v>
      </c>
      <c r="G28" s="161">
        <v>152.50149999999999</v>
      </c>
      <c r="H28" s="162">
        <v>30</v>
      </c>
      <c r="I28" s="162">
        <v>22780262.059999999</v>
      </c>
      <c r="J28" s="162">
        <v>1139013.1000000001</v>
      </c>
      <c r="K28" s="211"/>
      <c r="L28" s="212"/>
      <c r="M28" s="215"/>
      <c r="N28" s="216"/>
    </row>
    <row r="29" spans="1:14" ht="18.600000000000001" customHeight="1" thickTop="1" thickBot="1" x14ac:dyDescent="0.35">
      <c r="A29" s="179">
        <f>ROW()-5</f>
        <v>24</v>
      </c>
      <c r="B29" s="161" t="s">
        <v>512</v>
      </c>
      <c r="C29" s="161" t="s">
        <v>243</v>
      </c>
      <c r="D29" s="161" t="s">
        <v>250</v>
      </c>
      <c r="E29" s="161" t="s">
        <v>251</v>
      </c>
      <c r="F29" s="161">
        <v>175</v>
      </c>
      <c r="G29" s="161">
        <v>255.31110000000001</v>
      </c>
      <c r="H29" s="162">
        <v>43</v>
      </c>
      <c r="I29" s="162">
        <v>26658279.579999998</v>
      </c>
      <c r="J29" s="162">
        <v>1332913.98</v>
      </c>
      <c r="K29" s="211"/>
      <c r="L29" s="212"/>
      <c r="M29" s="215"/>
      <c r="N29" s="216"/>
    </row>
    <row r="30" spans="1:14" ht="18.600000000000001" customHeight="1" thickTop="1" thickBot="1" x14ac:dyDescent="0.35">
      <c r="A30" s="179">
        <f t="shared" si="5"/>
        <v>25</v>
      </c>
      <c r="B30" s="161" t="s">
        <v>369</v>
      </c>
      <c r="C30" s="161" t="s">
        <v>243</v>
      </c>
      <c r="D30" s="161" t="s">
        <v>252</v>
      </c>
      <c r="E30" s="161" t="s">
        <v>253</v>
      </c>
      <c r="F30" s="161">
        <v>165</v>
      </c>
      <c r="G30" s="161">
        <v>152.38290000000001</v>
      </c>
      <c r="H30" s="162">
        <v>30</v>
      </c>
      <c r="I30" s="162">
        <v>22770826.890000001</v>
      </c>
      <c r="J30" s="162">
        <v>1138541.3400000001</v>
      </c>
      <c r="K30" s="211"/>
      <c r="L30" s="212"/>
      <c r="M30" s="215"/>
      <c r="N30" s="216"/>
    </row>
    <row r="31" spans="1:14" ht="15" thickTop="1" x14ac:dyDescent="0.3"/>
    <row r="32" spans="1:14" x14ac:dyDescent="0.3">
      <c r="B32" s="120"/>
    </row>
    <row r="33" spans="2:10" x14ac:dyDescent="0.3">
      <c r="B33" s="119"/>
    </row>
    <row r="34" spans="2:10" x14ac:dyDescent="0.3">
      <c r="B34" s="213"/>
      <c r="D34" s="164"/>
      <c r="I34" s="157"/>
      <c r="J34" s="157"/>
    </row>
    <row r="35" spans="2:10" x14ac:dyDescent="0.3">
      <c r="B35" s="214"/>
      <c r="D35" s="214"/>
      <c r="I35" s="157"/>
      <c r="J35" s="157"/>
    </row>
    <row r="36" spans="2:10" x14ac:dyDescent="0.3">
      <c r="B36" s="214"/>
      <c r="D36" s="214"/>
      <c r="I36" s="157"/>
      <c r="J36" s="157"/>
    </row>
    <row r="37" spans="2:10" x14ac:dyDescent="0.3">
      <c r="B37" s="214"/>
      <c r="D37" s="214"/>
      <c r="I37" s="157"/>
      <c r="J37" s="157"/>
    </row>
    <row r="38" spans="2:10" x14ac:dyDescent="0.3">
      <c r="B38" s="214"/>
      <c r="D38" s="214"/>
      <c r="I38" s="157"/>
      <c r="J38" s="157"/>
    </row>
    <row r="39" spans="2:10" x14ac:dyDescent="0.3">
      <c r="B39" s="214"/>
      <c r="I39" s="157"/>
      <c r="J39" s="157"/>
    </row>
    <row r="40" spans="2:10" x14ac:dyDescent="0.3">
      <c r="B40" s="214"/>
      <c r="I40" s="157"/>
      <c r="J40" s="157"/>
    </row>
    <row r="41" spans="2:10" x14ac:dyDescent="0.3">
      <c r="B41" s="214"/>
      <c r="I41" s="157"/>
      <c r="J41" s="157"/>
    </row>
    <row r="42" spans="2:10" x14ac:dyDescent="0.3">
      <c r="B42" s="214"/>
      <c r="I42" s="157"/>
      <c r="J42" s="157"/>
    </row>
    <row r="43" spans="2:10" x14ac:dyDescent="0.3">
      <c r="B43" s="214"/>
      <c r="I43" s="157"/>
      <c r="J43" s="157"/>
    </row>
    <row r="44" spans="2:10" x14ac:dyDescent="0.3">
      <c r="B44" s="214"/>
      <c r="I44" s="157"/>
      <c r="J44" s="157"/>
    </row>
    <row r="45" spans="2:10" x14ac:dyDescent="0.3">
      <c r="B45" s="214"/>
      <c r="I45" s="157"/>
      <c r="J45" s="157"/>
    </row>
    <row r="46" spans="2:10" x14ac:dyDescent="0.3">
      <c r="B46" s="214"/>
      <c r="I46" s="157"/>
      <c r="J46" s="157"/>
    </row>
    <row r="47" spans="2:10" x14ac:dyDescent="0.3">
      <c r="B47" s="214"/>
      <c r="I47" s="157"/>
      <c r="J47" s="157"/>
    </row>
    <row r="48" spans="2:10" x14ac:dyDescent="0.3">
      <c r="B48" s="214"/>
      <c r="I48" s="157"/>
      <c r="J48" s="157"/>
    </row>
    <row r="49" spans="2:10" x14ac:dyDescent="0.3">
      <c r="B49" s="214"/>
      <c r="I49" s="157"/>
      <c r="J49" s="157"/>
    </row>
    <row r="50" spans="2:10" x14ac:dyDescent="0.3">
      <c r="B50" s="214"/>
      <c r="I50" s="157"/>
      <c r="J50" s="157"/>
    </row>
    <row r="51" spans="2:10" x14ac:dyDescent="0.3">
      <c r="B51" s="214"/>
      <c r="I51" s="157"/>
      <c r="J51" s="157"/>
    </row>
    <row r="52" spans="2:10" x14ac:dyDescent="0.3">
      <c r="B52" s="214"/>
      <c r="I52" s="157"/>
      <c r="J52" s="157"/>
    </row>
    <row r="53" spans="2:10" x14ac:dyDescent="0.3">
      <c r="B53" s="214"/>
      <c r="I53" s="157"/>
      <c r="J53" s="157"/>
    </row>
    <row r="54" spans="2:10" x14ac:dyDescent="0.3">
      <c r="B54" s="214"/>
      <c r="I54" s="157"/>
      <c r="J54" s="157"/>
    </row>
    <row r="55" spans="2:10" x14ac:dyDescent="0.3">
      <c r="B55" s="214"/>
      <c r="I55" s="157"/>
      <c r="J55" s="157"/>
    </row>
    <row r="56" spans="2:10" x14ac:dyDescent="0.3">
      <c r="B56" s="214"/>
      <c r="I56" s="157"/>
      <c r="J56" s="157"/>
    </row>
    <row r="57" spans="2:10" x14ac:dyDescent="0.3">
      <c r="B57" s="214"/>
      <c r="I57" s="157"/>
      <c r="J57" s="157"/>
    </row>
    <row r="58" spans="2:10" x14ac:dyDescent="0.3">
      <c r="B58" s="214"/>
      <c r="I58" s="157"/>
      <c r="J58" s="157"/>
    </row>
    <row r="59" spans="2:10" x14ac:dyDescent="0.3">
      <c r="B59" s="214"/>
      <c r="I59" s="157"/>
      <c r="J59" s="157"/>
    </row>
    <row r="60" spans="2:10" x14ac:dyDescent="0.3">
      <c r="B60" s="214"/>
      <c r="I60" s="157"/>
      <c r="J60" s="157"/>
    </row>
    <row r="61" spans="2:10" x14ac:dyDescent="0.3">
      <c r="B61" s="214"/>
      <c r="I61" s="157"/>
      <c r="J61" s="157"/>
    </row>
    <row r="62" spans="2:10" x14ac:dyDescent="0.3">
      <c r="B62" s="214"/>
      <c r="I62" s="157"/>
      <c r="J62" s="157"/>
    </row>
    <row r="63" spans="2:10" x14ac:dyDescent="0.3">
      <c r="B63" s="214"/>
    </row>
    <row r="64" spans="2:10" x14ac:dyDescent="0.3">
      <c r="B64" s="214"/>
    </row>
    <row r="65" spans="2:2" x14ac:dyDescent="0.3">
      <c r="B65" s="214"/>
    </row>
    <row r="66" spans="2:2" x14ac:dyDescent="0.3">
      <c r="B66" s="214"/>
    </row>
    <row r="67" spans="2:2" x14ac:dyDescent="0.3">
      <c r="B67" s="214"/>
    </row>
    <row r="68" spans="2:2" x14ac:dyDescent="0.3">
      <c r="B68" s="214"/>
    </row>
    <row r="69" spans="2:2" x14ac:dyDescent="0.3">
      <c r="B69" s="214"/>
    </row>
    <row r="70" spans="2:2" x14ac:dyDescent="0.3">
      <c r="B70" s="214"/>
    </row>
    <row r="71" spans="2:2" x14ac:dyDescent="0.3">
      <c r="B71" s="214"/>
    </row>
    <row r="72" spans="2:2" x14ac:dyDescent="0.3">
      <c r="B72" s="214"/>
    </row>
    <row r="73" spans="2:2" x14ac:dyDescent="0.3">
      <c r="B73" s="214"/>
    </row>
    <row r="74" spans="2:2" x14ac:dyDescent="0.3">
      <c r="B74" s="214"/>
    </row>
    <row r="75" spans="2:2" x14ac:dyDescent="0.3">
      <c r="B75" s="214"/>
    </row>
    <row r="76" spans="2:2" x14ac:dyDescent="0.3">
      <c r="B76" s="214"/>
    </row>
    <row r="77" spans="2:2" x14ac:dyDescent="0.3">
      <c r="B77" s="214"/>
    </row>
    <row r="78" spans="2:2" x14ac:dyDescent="0.3">
      <c r="B78" s="214"/>
    </row>
    <row r="79" spans="2:2" x14ac:dyDescent="0.3">
      <c r="B79" s="214"/>
    </row>
    <row r="80" spans="2:2" x14ac:dyDescent="0.3">
      <c r="B80" s="214"/>
    </row>
    <row r="81" spans="2:2" x14ac:dyDescent="0.3">
      <c r="B81" s="214"/>
    </row>
    <row r="82" spans="2:2" x14ac:dyDescent="0.3">
      <c r="B82" s="214"/>
    </row>
    <row r="83" spans="2:2" x14ac:dyDescent="0.3">
      <c r="B83" s="165"/>
    </row>
    <row r="84" spans="2:2" x14ac:dyDescent="0.3">
      <c r="B84" s="165"/>
    </row>
    <row r="85" spans="2:2" x14ac:dyDescent="0.3">
      <c r="B85" s="165"/>
    </row>
    <row r="86" spans="2:2" x14ac:dyDescent="0.3">
      <c r="B86" s="165"/>
    </row>
    <row r="87" spans="2:2" x14ac:dyDescent="0.3">
      <c r="B87" s="165"/>
    </row>
    <row r="88" spans="2:2" x14ac:dyDescent="0.3">
      <c r="B88" s="165"/>
    </row>
    <row r="89" spans="2:2" x14ac:dyDescent="0.3">
      <c r="B89" s="165"/>
    </row>
    <row r="90" spans="2:2" x14ac:dyDescent="0.3">
      <c r="B90" s="165"/>
    </row>
    <row r="91" spans="2:2" x14ac:dyDescent="0.3">
      <c r="B91" s="165"/>
    </row>
    <row r="92" spans="2:2" x14ac:dyDescent="0.3">
      <c r="B92" s="165"/>
    </row>
    <row r="93" spans="2:2" x14ac:dyDescent="0.3">
      <c r="B93" s="165"/>
    </row>
    <row r="94" spans="2:2" x14ac:dyDescent="0.3">
      <c r="B94" s="165"/>
    </row>
    <row r="95" spans="2:2" x14ac:dyDescent="0.3">
      <c r="B95" s="165"/>
    </row>
    <row r="96" spans="2:2" x14ac:dyDescent="0.3">
      <c r="B96" s="165"/>
    </row>
    <row r="97" spans="2:2" x14ac:dyDescent="0.3">
      <c r="B97" s="165"/>
    </row>
    <row r="98" spans="2:2" x14ac:dyDescent="0.3">
      <c r="B98" s="165"/>
    </row>
    <row r="99" spans="2:2" x14ac:dyDescent="0.3">
      <c r="B99" s="165"/>
    </row>
    <row r="100" spans="2:2" x14ac:dyDescent="0.3">
      <c r="B100" s="165"/>
    </row>
    <row r="101" spans="2:2" x14ac:dyDescent="0.3">
      <c r="B101" s="165"/>
    </row>
    <row r="102" spans="2:2" x14ac:dyDescent="0.3">
      <c r="B102" s="165"/>
    </row>
    <row r="103" spans="2:2" x14ac:dyDescent="0.3">
      <c r="B103" s="165"/>
    </row>
    <row r="104" spans="2:2" x14ac:dyDescent="0.3">
      <c r="B104" s="165"/>
    </row>
    <row r="105" spans="2:2" x14ac:dyDescent="0.3">
      <c r="B105" s="165"/>
    </row>
    <row r="106" spans="2:2" x14ac:dyDescent="0.3">
      <c r="B106" s="165"/>
    </row>
    <row r="107" spans="2:2" x14ac:dyDescent="0.3">
      <c r="B107" s="165"/>
    </row>
    <row r="108" spans="2:2" x14ac:dyDescent="0.3">
      <c r="B108" s="165"/>
    </row>
    <row r="109" spans="2:2" x14ac:dyDescent="0.3">
      <c r="B109" s="165"/>
    </row>
    <row r="110" spans="2:2" x14ac:dyDescent="0.3">
      <c r="B110" s="165"/>
    </row>
    <row r="111" spans="2:2" x14ac:dyDescent="0.3">
      <c r="B111" s="165"/>
    </row>
    <row r="112" spans="2:2" x14ac:dyDescent="0.3">
      <c r="B112" s="165"/>
    </row>
    <row r="113" spans="2:2" x14ac:dyDescent="0.3">
      <c r="B113" s="165"/>
    </row>
    <row r="114" spans="2:2" x14ac:dyDescent="0.3">
      <c r="B114" s="165"/>
    </row>
    <row r="115" spans="2:2" x14ac:dyDescent="0.3">
      <c r="B115" s="165"/>
    </row>
    <row r="116" spans="2:2" x14ac:dyDescent="0.3">
      <c r="B116" s="165"/>
    </row>
    <row r="117" spans="2:2" x14ac:dyDescent="0.3">
      <c r="B117" s="165"/>
    </row>
    <row r="118" spans="2:2" x14ac:dyDescent="0.3">
      <c r="B118" s="165"/>
    </row>
    <row r="119" spans="2:2" x14ac:dyDescent="0.3">
      <c r="B119" s="165"/>
    </row>
    <row r="120" spans="2:2" x14ac:dyDescent="0.3">
      <c r="B120" s="165"/>
    </row>
    <row r="121" spans="2:2" x14ac:dyDescent="0.3">
      <c r="B121" s="165"/>
    </row>
    <row r="122" spans="2:2" x14ac:dyDescent="0.3">
      <c r="B122" s="165"/>
    </row>
    <row r="123" spans="2:2" x14ac:dyDescent="0.3">
      <c r="B123" s="165"/>
    </row>
    <row r="124" spans="2:2" x14ac:dyDescent="0.3">
      <c r="B124" s="165"/>
    </row>
    <row r="125" spans="2:2" x14ac:dyDescent="0.3">
      <c r="B125" s="165"/>
    </row>
    <row r="126" spans="2:2" x14ac:dyDescent="0.3">
      <c r="B126" s="165"/>
    </row>
    <row r="127" spans="2:2" x14ac:dyDescent="0.3">
      <c r="B127" s="165"/>
    </row>
    <row r="128" spans="2:2" x14ac:dyDescent="0.3">
      <c r="B128" s="165"/>
    </row>
    <row r="129" spans="2:2" x14ac:dyDescent="0.3">
      <c r="B129" s="165"/>
    </row>
    <row r="130" spans="2:2" x14ac:dyDescent="0.3">
      <c r="B130" s="165"/>
    </row>
  </sheetData>
  <mergeCells count="3">
    <mergeCell ref="A1:L1"/>
    <mergeCell ref="K4:L4"/>
    <mergeCell ref="I4:J4"/>
  </mergeCells>
  <phoneticPr fontId="20" type="noConversion"/>
  <conditionalFormatting sqref="A5">
    <cfRule type="duplicateValues" dxfId="264" priority="45"/>
    <cfRule type="duplicateValues" dxfId="263" priority="46"/>
    <cfRule type="duplicateValues" dxfId="262" priority="47"/>
  </conditionalFormatting>
  <conditionalFormatting sqref="B1:B1048576">
    <cfRule type="duplicateValues" dxfId="261" priority="1"/>
    <cfRule type="duplicateValues" dxfId="260" priority="2"/>
    <cfRule type="duplicateValues" dxfId="259" priority="5"/>
  </conditionalFormatting>
  <conditionalFormatting sqref="B2:B1048576">
    <cfRule type="duplicateValues" dxfId="258" priority="24"/>
  </conditionalFormatting>
  <conditionalFormatting sqref="B31">
    <cfRule type="duplicateValues" dxfId="257" priority="55"/>
    <cfRule type="duplicateValues" dxfId="256" priority="59"/>
  </conditionalFormatting>
  <conditionalFormatting sqref="B127:B1048576 B2:B33">
    <cfRule type="duplicateValues" dxfId="255" priority="25"/>
  </conditionalFormatting>
  <conditionalFormatting sqref="B131:B1048576 B2:B31">
    <cfRule type="duplicateValues" dxfId="254" priority="38"/>
    <cfRule type="duplicateValues" dxfId="253" priority="39"/>
  </conditionalFormatting>
  <conditionalFormatting sqref="B131:B1048576 B2:B32">
    <cfRule type="duplicateValues" dxfId="252" priority="32"/>
    <cfRule type="duplicateValues" dxfId="251" priority="33"/>
    <cfRule type="duplicateValues" dxfId="250" priority="34"/>
    <cfRule type="duplicateValues" dxfId="249" priority="35"/>
  </conditionalFormatting>
  <conditionalFormatting sqref="B131:B1048576 B2:B33">
    <cfRule type="duplicateValues" dxfId="248" priority="29"/>
    <cfRule type="duplicateValues" dxfId="247" priority="30"/>
    <cfRule type="duplicateValues" dxfId="246" priority="31"/>
  </conditionalFormatting>
  <conditionalFormatting sqref="B131:B1048576 B6:B31">
    <cfRule type="duplicateValues" dxfId="245" priority="60"/>
  </conditionalFormatting>
  <conditionalFormatting sqref="B131:B1048576 B31">
    <cfRule type="duplicateValues" dxfId="244" priority="54"/>
    <cfRule type="duplicateValues" dxfId="243" priority="58"/>
  </conditionalFormatting>
  <conditionalFormatting sqref="B131:B1048576">
    <cfRule type="duplicateValues" dxfId="242" priority="36"/>
    <cfRule type="duplicateValues" dxfId="241" priority="37"/>
    <cfRule type="duplicateValues" dxfId="240" priority="51"/>
    <cfRule type="duplicateValues" dxfId="239" priority="52"/>
    <cfRule type="duplicateValues" dxfId="238" priority="53"/>
    <cfRule type="duplicateValues" dxfId="237" priority="56"/>
    <cfRule type="duplicateValues" dxfId="236" priority="57"/>
  </conditionalFormatting>
  <conditionalFormatting sqref="B5:I5">
    <cfRule type="duplicateValues" dxfId="235" priority="48"/>
    <cfRule type="duplicateValues" dxfId="234" priority="49"/>
    <cfRule type="duplicateValues" dxfId="233" priority="50"/>
  </conditionalFormatting>
  <conditionalFormatting sqref="D35:D38">
    <cfRule type="duplicateValues" dxfId="232" priority="3"/>
    <cfRule type="duplicateValues" dxfId="231" priority="4"/>
  </conditionalFormatting>
  <conditionalFormatting sqref="J5">
    <cfRule type="duplicateValues" dxfId="230" priority="26"/>
    <cfRule type="duplicateValues" dxfId="229" priority="27"/>
    <cfRule type="duplicateValues" dxfId="228" priority="28"/>
  </conditionalFormatting>
  <conditionalFormatting sqref="K5">
    <cfRule type="duplicateValues" dxfId="227" priority="9"/>
    <cfRule type="duplicateValues" dxfId="226" priority="10"/>
    <cfRule type="duplicateValues" dxfId="225" priority="11"/>
  </conditionalFormatting>
  <conditionalFormatting sqref="L5">
    <cfRule type="duplicateValues" dxfId="224" priority="6"/>
    <cfRule type="duplicateValues" dxfId="223" priority="7"/>
    <cfRule type="duplicateValues" dxfId="222" priority="8"/>
  </conditionalFormatting>
  <printOptions horizontalCentered="1"/>
  <pageMargins left="0" right="0" top="0.75" bottom="0" header="0.3" footer="0"/>
  <pageSetup scale="58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823F2-06C6-477D-BBDD-60A176ADE33A}">
  <dimension ref="A1:N27"/>
  <sheetViews>
    <sheetView tabSelected="1" view="pageBreakPreview" topLeftCell="A12" zoomScale="92" zoomScaleNormal="100" workbookViewId="0">
      <selection activeCell="A26" sqref="A26:XFD26"/>
    </sheetView>
  </sheetViews>
  <sheetFormatPr defaultColWidth="18.109375" defaultRowHeight="14.4" x14ac:dyDescent="0.3"/>
  <cols>
    <col min="1" max="1" width="6.33203125" style="1" customWidth="1"/>
    <col min="2" max="2" width="17" style="1" customWidth="1"/>
    <col min="3" max="3" width="11.109375" style="1" customWidth="1"/>
    <col min="4" max="4" width="13.88671875" style="1" customWidth="1"/>
    <col min="5" max="5" width="33.109375" style="1" customWidth="1"/>
    <col min="6" max="6" width="12.77734375" style="1" customWidth="1"/>
    <col min="7" max="7" width="10.88671875" style="1" customWidth="1"/>
    <col min="8" max="8" width="16.88671875" style="1" customWidth="1"/>
    <col min="9" max="9" width="23.33203125" style="1" customWidth="1"/>
    <col min="10" max="10" width="19.109375" style="1" customWidth="1"/>
    <col min="11" max="12" width="18.109375" style="1"/>
    <col min="13" max="13" width="20.33203125" style="1" customWidth="1"/>
    <col min="14" max="16384" width="18.109375" style="1"/>
  </cols>
  <sheetData>
    <row r="1" spans="1:14" ht="30" customHeight="1" x14ac:dyDescent="0.3">
      <c r="A1" s="274" t="s">
        <v>231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</row>
    <row r="2" spans="1:14" ht="15.6" customHeight="1" x14ac:dyDescent="0.3">
      <c r="A2" s="274"/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</row>
    <row r="3" spans="1:14" ht="8.4" customHeight="1" x14ac:dyDescent="0.3">
      <c r="A3" s="220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4" ht="8.4" customHeight="1" x14ac:dyDescent="0.3">
      <c r="A4" s="220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4" ht="22.8" customHeight="1" x14ac:dyDescent="0.3">
      <c r="A5" s="220"/>
      <c r="B5" s="3"/>
      <c r="C5" s="3"/>
      <c r="D5" s="3"/>
      <c r="E5" s="3"/>
      <c r="F5" s="3"/>
      <c r="G5" s="3"/>
      <c r="H5" s="3"/>
      <c r="I5" s="273" t="s">
        <v>427</v>
      </c>
      <c r="J5" s="273"/>
      <c r="K5" s="273" t="s">
        <v>464</v>
      </c>
      <c r="L5" s="273"/>
      <c r="M5" s="273" t="s">
        <v>428</v>
      </c>
      <c r="N5" s="273"/>
    </row>
    <row r="6" spans="1:14" ht="25.95" customHeight="1" thickBot="1" x14ac:dyDescent="0.35">
      <c r="A6" s="182" t="s">
        <v>5</v>
      </c>
      <c r="B6" s="37" t="s">
        <v>11</v>
      </c>
      <c r="C6" s="37" t="s">
        <v>232</v>
      </c>
      <c r="D6" s="37" t="s">
        <v>13</v>
      </c>
      <c r="E6" s="37" t="s">
        <v>65</v>
      </c>
      <c r="F6" s="37" t="s">
        <v>45</v>
      </c>
      <c r="G6" s="37" t="s">
        <v>233</v>
      </c>
      <c r="H6" s="37" t="s">
        <v>18</v>
      </c>
      <c r="I6" s="225" t="s">
        <v>234</v>
      </c>
      <c r="J6" s="225" t="s">
        <v>122</v>
      </c>
      <c r="K6" s="225" t="s">
        <v>444</v>
      </c>
      <c r="L6" s="225" t="s">
        <v>445</v>
      </c>
      <c r="M6" s="225" t="s">
        <v>446</v>
      </c>
      <c r="N6" s="225" t="s">
        <v>447</v>
      </c>
    </row>
    <row r="7" spans="1:14" ht="21" customHeight="1" thickTop="1" thickBot="1" x14ac:dyDescent="0.35">
      <c r="A7" s="183">
        <f>ROW()-6</f>
        <v>1</v>
      </c>
      <c r="B7" s="117" t="s">
        <v>235</v>
      </c>
      <c r="C7" s="117">
        <v>1</v>
      </c>
      <c r="D7" s="117" t="s">
        <v>135</v>
      </c>
      <c r="E7" s="117" t="s">
        <v>238</v>
      </c>
      <c r="F7" s="117">
        <v>155</v>
      </c>
      <c r="G7" s="117">
        <v>0</v>
      </c>
      <c r="H7" s="117">
        <v>70.92</v>
      </c>
      <c r="I7" s="118">
        <v>36715290</v>
      </c>
      <c r="J7" s="184">
        <v>1835764.5</v>
      </c>
      <c r="K7" s="221">
        <v>33447629.190000001</v>
      </c>
      <c r="L7" s="221">
        <v>1672381.46</v>
      </c>
      <c r="M7" s="221">
        <v>31758725.850000001</v>
      </c>
      <c r="N7" s="221">
        <v>1587936.29</v>
      </c>
    </row>
    <row r="8" spans="1:14" ht="21" customHeight="1" thickTop="1" thickBot="1" x14ac:dyDescent="0.35">
      <c r="A8" s="183">
        <f t="shared" ref="A8:A24" si="0">ROW()-6</f>
        <v>2</v>
      </c>
      <c r="B8" s="117" t="s">
        <v>236</v>
      </c>
      <c r="C8" s="117">
        <v>2</v>
      </c>
      <c r="D8" s="117" t="s">
        <v>135</v>
      </c>
      <c r="E8" s="117" t="s">
        <v>238</v>
      </c>
      <c r="F8" s="117">
        <v>152</v>
      </c>
      <c r="G8" s="117">
        <v>0</v>
      </c>
      <c r="H8" s="117">
        <v>65.84</v>
      </c>
      <c r="I8" s="118">
        <v>36313480</v>
      </c>
      <c r="J8" s="184">
        <v>1815674</v>
      </c>
      <c r="K8" s="222">
        <v>33081580.280000001</v>
      </c>
      <c r="L8" s="222">
        <v>1654079.01</v>
      </c>
      <c r="M8" s="222">
        <v>31411160.199999999</v>
      </c>
      <c r="N8" s="222">
        <v>1570558.01</v>
      </c>
    </row>
    <row r="9" spans="1:14" ht="21" customHeight="1" thickTop="1" thickBot="1" x14ac:dyDescent="0.35">
      <c r="A9" s="183">
        <f t="shared" si="0"/>
        <v>3</v>
      </c>
      <c r="B9" s="117" t="s">
        <v>259</v>
      </c>
      <c r="C9" s="117">
        <v>2</v>
      </c>
      <c r="D9" s="117" t="s">
        <v>135</v>
      </c>
      <c r="E9" s="117" t="s">
        <v>260</v>
      </c>
      <c r="F9" s="117">
        <v>185</v>
      </c>
      <c r="G9" s="117">
        <v>0</v>
      </c>
      <c r="H9" s="117">
        <v>75.459999999999994</v>
      </c>
      <c r="I9" s="118">
        <v>43872060</v>
      </c>
      <c r="J9" s="184">
        <v>2193603</v>
      </c>
      <c r="K9" s="222">
        <v>39967446.659999996</v>
      </c>
      <c r="L9" s="222">
        <v>1998372.33</v>
      </c>
      <c r="M9" s="222">
        <v>37949331.899999999</v>
      </c>
      <c r="N9" s="222">
        <v>1897466.6</v>
      </c>
    </row>
    <row r="10" spans="1:14" ht="21" customHeight="1" thickTop="1" thickBot="1" x14ac:dyDescent="0.35">
      <c r="A10" s="183">
        <f t="shared" si="0"/>
        <v>4</v>
      </c>
      <c r="B10" s="117" t="s">
        <v>237</v>
      </c>
      <c r="C10" s="117">
        <v>2</v>
      </c>
      <c r="D10" s="117" t="s">
        <v>135</v>
      </c>
      <c r="E10" s="117" t="s">
        <v>238</v>
      </c>
      <c r="F10" s="117">
        <v>154</v>
      </c>
      <c r="G10" s="117">
        <v>0</v>
      </c>
      <c r="H10" s="117">
        <v>83.79</v>
      </c>
      <c r="I10" s="118">
        <v>37980100</v>
      </c>
      <c r="J10" s="184">
        <v>1899005</v>
      </c>
      <c r="K10" s="222">
        <v>34599871.100000001</v>
      </c>
      <c r="L10" s="222">
        <v>1729993.56</v>
      </c>
      <c r="M10" s="222">
        <v>32852786.5</v>
      </c>
      <c r="N10" s="222">
        <v>1642639.33</v>
      </c>
    </row>
    <row r="11" spans="1:14" ht="21" customHeight="1" thickTop="1" thickBot="1" x14ac:dyDescent="0.35">
      <c r="A11" s="183">
        <f t="shared" si="0"/>
        <v>5</v>
      </c>
      <c r="B11" s="117" t="s">
        <v>413</v>
      </c>
      <c r="C11" s="117">
        <v>1</v>
      </c>
      <c r="D11" s="117" t="s">
        <v>117</v>
      </c>
      <c r="E11" s="117" t="s">
        <v>414</v>
      </c>
      <c r="F11" s="117">
        <v>85</v>
      </c>
      <c r="G11" s="117">
        <v>0</v>
      </c>
      <c r="H11" s="117">
        <v>10</v>
      </c>
      <c r="I11" s="118">
        <v>19263440</v>
      </c>
      <c r="J11" s="184">
        <v>963172</v>
      </c>
      <c r="K11" s="222">
        <v>17548993.84</v>
      </c>
      <c r="L11" s="222">
        <v>877449.69</v>
      </c>
      <c r="M11" s="222">
        <v>16662875.6</v>
      </c>
      <c r="N11" s="222">
        <v>833143.78</v>
      </c>
    </row>
    <row r="12" spans="1:14" ht="21" customHeight="1" thickTop="1" thickBot="1" x14ac:dyDescent="0.35">
      <c r="A12" s="183">
        <f t="shared" si="0"/>
        <v>6</v>
      </c>
      <c r="B12" s="117" t="s">
        <v>262</v>
      </c>
      <c r="C12" s="163">
        <v>1</v>
      </c>
      <c r="D12" s="163" t="s">
        <v>119</v>
      </c>
      <c r="E12" s="163" t="s">
        <v>261</v>
      </c>
      <c r="F12" s="163">
        <v>156</v>
      </c>
      <c r="G12" s="163">
        <v>39</v>
      </c>
      <c r="H12" s="163">
        <v>0</v>
      </c>
      <c r="I12" s="118">
        <v>34758070</v>
      </c>
      <c r="J12" s="184">
        <v>1737903.5</v>
      </c>
      <c r="K12" s="222">
        <v>31664601.77</v>
      </c>
      <c r="L12" s="222">
        <v>1583230.09</v>
      </c>
      <c r="M12" s="222">
        <v>30065730.550000001</v>
      </c>
      <c r="N12" s="222">
        <v>1503286.53</v>
      </c>
    </row>
    <row r="13" spans="1:14" ht="21" customHeight="1" thickTop="1" thickBot="1" x14ac:dyDescent="0.35">
      <c r="A13" s="183">
        <f t="shared" si="0"/>
        <v>7</v>
      </c>
      <c r="B13" s="117" t="s">
        <v>354</v>
      </c>
      <c r="C13" s="117">
        <v>1</v>
      </c>
      <c r="D13" s="117" t="s">
        <v>117</v>
      </c>
      <c r="E13" s="117" t="s">
        <v>263</v>
      </c>
      <c r="F13" s="117">
        <v>138</v>
      </c>
      <c r="G13" s="117">
        <v>0</v>
      </c>
      <c r="H13" s="117">
        <v>0</v>
      </c>
      <c r="I13" s="118">
        <v>29537270</v>
      </c>
      <c r="J13" s="184">
        <v>1476863.5</v>
      </c>
      <c r="K13" s="222">
        <v>26908452.969999999</v>
      </c>
      <c r="L13" s="222">
        <v>1345422.65</v>
      </c>
      <c r="M13" s="222">
        <v>25549738.550000001</v>
      </c>
      <c r="N13" s="222">
        <v>1277486.93</v>
      </c>
    </row>
    <row r="14" spans="1:14" ht="21" customHeight="1" thickTop="1" thickBot="1" x14ac:dyDescent="0.35">
      <c r="A14" s="183">
        <f t="shared" si="0"/>
        <v>8</v>
      </c>
      <c r="B14" s="117" t="s">
        <v>264</v>
      </c>
      <c r="C14" s="163">
        <v>2</v>
      </c>
      <c r="D14" s="163" t="s">
        <v>119</v>
      </c>
      <c r="E14" s="163" t="s">
        <v>261</v>
      </c>
      <c r="F14" s="163">
        <v>156</v>
      </c>
      <c r="G14" s="163">
        <v>27</v>
      </c>
      <c r="H14" s="163">
        <v>0</v>
      </c>
      <c r="I14" s="118">
        <v>34476460</v>
      </c>
      <c r="J14" s="184">
        <v>1723823</v>
      </c>
      <c r="K14" s="222">
        <v>31408055.059999999</v>
      </c>
      <c r="L14" s="222">
        <v>1570402.75</v>
      </c>
      <c r="M14" s="222">
        <v>29822137.899999999</v>
      </c>
      <c r="N14" s="222">
        <v>1491106.9</v>
      </c>
    </row>
    <row r="15" spans="1:14" ht="21" customHeight="1" thickTop="1" thickBot="1" x14ac:dyDescent="0.35">
      <c r="A15" s="183">
        <f t="shared" si="0"/>
        <v>9</v>
      </c>
      <c r="B15" s="117" t="s">
        <v>265</v>
      </c>
      <c r="C15" s="117">
        <v>1</v>
      </c>
      <c r="D15" s="117" t="s">
        <v>117</v>
      </c>
      <c r="E15" s="117" t="s">
        <v>263</v>
      </c>
      <c r="F15" s="117">
        <v>129</v>
      </c>
      <c r="G15" s="117">
        <v>0</v>
      </c>
      <c r="H15" s="117">
        <v>0</v>
      </c>
      <c r="I15" s="118">
        <v>27610930</v>
      </c>
      <c r="J15" s="184">
        <v>1380546.5</v>
      </c>
      <c r="K15" s="222">
        <v>25153557.23</v>
      </c>
      <c r="L15" s="222">
        <v>1257677.8600000001</v>
      </c>
      <c r="M15" s="222">
        <v>23883454.449999999</v>
      </c>
      <c r="N15" s="222">
        <v>1194172.72</v>
      </c>
    </row>
    <row r="16" spans="1:14" ht="21" customHeight="1" thickTop="1" thickBot="1" x14ac:dyDescent="0.35">
      <c r="A16" s="183">
        <f t="shared" si="0"/>
        <v>10</v>
      </c>
      <c r="B16" s="117" t="s">
        <v>356</v>
      </c>
      <c r="C16" s="117">
        <v>5</v>
      </c>
      <c r="D16" s="117" t="s">
        <v>119</v>
      </c>
      <c r="E16" s="117" t="s">
        <v>357</v>
      </c>
      <c r="F16" s="117">
        <v>110</v>
      </c>
      <c r="G16" s="117">
        <v>85</v>
      </c>
      <c r="H16" s="117">
        <v>0</v>
      </c>
      <c r="I16" s="118">
        <v>27811542.030000001</v>
      </c>
      <c r="J16" s="184">
        <v>1390577.1</v>
      </c>
      <c r="K16" s="222">
        <v>25336314.789999999</v>
      </c>
      <c r="L16" s="222">
        <v>1266815.74</v>
      </c>
      <c r="M16" s="222">
        <v>24056983.859999999</v>
      </c>
      <c r="N16" s="222">
        <v>1202849.19</v>
      </c>
    </row>
    <row r="17" spans="1:14" ht="21" customHeight="1" thickTop="1" thickBot="1" x14ac:dyDescent="0.35">
      <c r="A17" s="183">
        <f t="shared" si="0"/>
        <v>11</v>
      </c>
      <c r="B17" s="117" t="s">
        <v>358</v>
      </c>
      <c r="C17" s="117">
        <v>5</v>
      </c>
      <c r="D17" s="117" t="s">
        <v>119</v>
      </c>
      <c r="E17" s="117" t="s">
        <v>263</v>
      </c>
      <c r="F17" s="117">
        <v>132</v>
      </c>
      <c r="G17" s="117">
        <v>52</v>
      </c>
      <c r="H17" s="117">
        <v>0</v>
      </c>
      <c r="I17" s="118">
        <v>33615042</v>
      </c>
      <c r="J17" s="184">
        <v>1680752.1</v>
      </c>
      <c r="K17" s="222">
        <v>30623303.260000002</v>
      </c>
      <c r="L17" s="222">
        <v>1531165.16</v>
      </c>
      <c r="M17" s="222">
        <v>29077011.329999998</v>
      </c>
      <c r="N17" s="222">
        <v>1453850.57</v>
      </c>
    </row>
    <row r="18" spans="1:14" ht="21" customHeight="1" thickTop="1" thickBot="1" x14ac:dyDescent="0.35">
      <c r="A18" s="183">
        <f t="shared" si="0"/>
        <v>12</v>
      </c>
      <c r="B18" s="117" t="s">
        <v>359</v>
      </c>
      <c r="C18" s="163">
        <v>5</v>
      </c>
      <c r="D18" s="163" t="s">
        <v>119</v>
      </c>
      <c r="E18" s="163" t="s">
        <v>263</v>
      </c>
      <c r="F18" s="163">
        <v>132</v>
      </c>
      <c r="G18" s="163">
        <v>54</v>
      </c>
      <c r="H18" s="163">
        <v>0</v>
      </c>
      <c r="I18" s="118">
        <v>33657073.439999998</v>
      </c>
      <c r="J18" s="184">
        <v>1682853.67</v>
      </c>
      <c r="K18" s="222">
        <v>30661593.899999999</v>
      </c>
      <c r="L18" s="222">
        <v>1533079.7</v>
      </c>
      <c r="M18" s="222">
        <v>29113368.530000001</v>
      </c>
      <c r="N18" s="222">
        <v>1455668.43</v>
      </c>
    </row>
    <row r="19" spans="1:14" ht="21" customHeight="1" thickTop="1" thickBot="1" x14ac:dyDescent="0.35">
      <c r="A19" s="183">
        <f t="shared" si="0"/>
        <v>13</v>
      </c>
      <c r="B19" s="117" t="s">
        <v>360</v>
      </c>
      <c r="C19" s="117">
        <v>5</v>
      </c>
      <c r="D19" s="117" t="s">
        <v>119</v>
      </c>
      <c r="E19" s="117" t="s">
        <v>357</v>
      </c>
      <c r="F19" s="117">
        <v>110</v>
      </c>
      <c r="G19" s="117">
        <v>87</v>
      </c>
      <c r="H19" s="117">
        <v>0</v>
      </c>
      <c r="I19" s="118">
        <v>27879824.059999999</v>
      </c>
      <c r="J19" s="184">
        <v>1393991.2</v>
      </c>
      <c r="K19" s="222">
        <v>25398519.719999999</v>
      </c>
      <c r="L19" s="222">
        <v>1269925.99</v>
      </c>
      <c r="M19" s="222">
        <v>24116047.809999999</v>
      </c>
      <c r="N19" s="222">
        <v>1205802.3899999999</v>
      </c>
    </row>
    <row r="20" spans="1:14" ht="21" customHeight="1" thickTop="1" thickBot="1" x14ac:dyDescent="0.35">
      <c r="A20" s="183">
        <f t="shared" si="0"/>
        <v>14</v>
      </c>
      <c r="B20" s="117" t="s">
        <v>361</v>
      </c>
      <c r="C20" s="163">
        <v>5</v>
      </c>
      <c r="D20" s="163" t="s">
        <v>117</v>
      </c>
      <c r="E20" s="163" t="s">
        <v>357</v>
      </c>
      <c r="F20" s="163">
        <v>115</v>
      </c>
      <c r="G20" s="163">
        <v>0</v>
      </c>
      <c r="H20" s="163">
        <v>0</v>
      </c>
      <c r="I20" s="118">
        <v>25758856.940000001</v>
      </c>
      <c r="J20" s="184">
        <v>1287942.8500000001</v>
      </c>
      <c r="K20" s="222">
        <v>23466318.670000002</v>
      </c>
      <c r="L20" s="222">
        <v>1173315.93</v>
      </c>
      <c r="M20" s="222">
        <v>22281411.25</v>
      </c>
      <c r="N20" s="222">
        <v>1114070.56</v>
      </c>
    </row>
    <row r="21" spans="1:14" ht="21" customHeight="1" thickTop="1" thickBot="1" x14ac:dyDescent="0.35">
      <c r="A21" s="183">
        <f t="shared" si="0"/>
        <v>15</v>
      </c>
      <c r="B21" s="117" t="s">
        <v>362</v>
      </c>
      <c r="C21" s="117">
        <v>5</v>
      </c>
      <c r="D21" s="117" t="s">
        <v>117</v>
      </c>
      <c r="E21" s="117" t="s">
        <v>357</v>
      </c>
      <c r="F21" s="117">
        <v>102</v>
      </c>
      <c r="G21" s="117">
        <v>0</v>
      </c>
      <c r="H21" s="117">
        <v>0</v>
      </c>
      <c r="I21" s="118">
        <v>22797434.670000002</v>
      </c>
      <c r="J21" s="184">
        <v>1139871.73</v>
      </c>
      <c r="K21" s="222">
        <v>20768462.98</v>
      </c>
      <c r="L21" s="222">
        <v>1038423.15</v>
      </c>
      <c r="M21" s="222">
        <v>19719780.989999998</v>
      </c>
      <c r="N21" s="222">
        <v>985989.05</v>
      </c>
    </row>
    <row r="22" spans="1:14" ht="21" customHeight="1" thickTop="1" thickBot="1" x14ac:dyDescent="0.35">
      <c r="A22" s="183">
        <f t="shared" si="0"/>
        <v>16</v>
      </c>
      <c r="B22" s="117" t="s">
        <v>363</v>
      </c>
      <c r="C22" s="117">
        <v>5</v>
      </c>
      <c r="D22" s="117" t="s">
        <v>117</v>
      </c>
      <c r="E22" s="117" t="s">
        <v>357</v>
      </c>
      <c r="F22" s="117">
        <v>102</v>
      </c>
      <c r="G22" s="117">
        <v>0</v>
      </c>
      <c r="H22" s="117">
        <v>0</v>
      </c>
      <c r="I22" s="118">
        <v>22797434.670000002</v>
      </c>
      <c r="J22" s="184">
        <v>1139871.73</v>
      </c>
      <c r="K22" s="222">
        <v>20768462.98</v>
      </c>
      <c r="L22" s="222">
        <v>1038423.15</v>
      </c>
      <c r="M22" s="222">
        <v>19719780.989999998</v>
      </c>
      <c r="N22" s="222">
        <v>985989.05</v>
      </c>
    </row>
    <row r="23" spans="1:14" ht="21" customHeight="1" thickTop="1" thickBot="1" x14ac:dyDescent="0.35">
      <c r="A23" s="183">
        <f t="shared" si="0"/>
        <v>17</v>
      </c>
      <c r="B23" s="117" t="s">
        <v>364</v>
      </c>
      <c r="C23" s="117">
        <v>5</v>
      </c>
      <c r="D23" s="117" t="s">
        <v>117</v>
      </c>
      <c r="E23" s="117" t="s">
        <v>357</v>
      </c>
      <c r="F23" s="117">
        <v>115</v>
      </c>
      <c r="G23" s="117">
        <v>0</v>
      </c>
      <c r="H23" s="117">
        <v>0</v>
      </c>
      <c r="I23" s="118">
        <v>25702990.07</v>
      </c>
      <c r="J23" s="184">
        <v>1285149.5</v>
      </c>
      <c r="K23" s="222">
        <v>23415423.949999999</v>
      </c>
      <c r="L23" s="222">
        <v>1170771.2</v>
      </c>
      <c r="M23" s="222">
        <v>22233086.41</v>
      </c>
      <c r="N23" s="222">
        <v>1111654.32</v>
      </c>
    </row>
    <row r="24" spans="1:14" ht="21" customHeight="1" thickTop="1" thickBot="1" x14ac:dyDescent="0.35">
      <c r="A24" s="183">
        <f t="shared" si="0"/>
        <v>18</v>
      </c>
      <c r="B24" s="117" t="s">
        <v>366</v>
      </c>
      <c r="C24" s="163">
        <v>5</v>
      </c>
      <c r="D24" s="163" t="s">
        <v>135</v>
      </c>
      <c r="E24" s="163" t="s">
        <v>365</v>
      </c>
      <c r="F24" s="163">
        <v>102</v>
      </c>
      <c r="G24" s="163">
        <v>0</v>
      </c>
      <c r="H24" s="163">
        <v>67.5</v>
      </c>
      <c r="I24" s="118">
        <v>25010191.41</v>
      </c>
      <c r="J24" s="184">
        <v>1250509.57</v>
      </c>
      <c r="K24" s="222">
        <v>22784284.370000001</v>
      </c>
      <c r="L24" s="222">
        <v>1139214.22</v>
      </c>
      <c r="M24" s="222">
        <v>21633815.57</v>
      </c>
      <c r="N24" s="222">
        <v>1081690.78</v>
      </c>
    </row>
    <row r="25" spans="1:14" ht="21" customHeight="1" thickTop="1" thickBot="1" x14ac:dyDescent="0.35">
      <c r="A25" s="183">
        <f>ROW()-6</f>
        <v>19</v>
      </c>
      <c r="B25" s="117" t="s">
        <v>497</v>
      </c>
      <c r="C25" s="163">
        <v>5</v>
      </c>
      <c r="D25" s="163" t="s">
        <v>117</v>
      </c>
      <c r="E25" s="163" t="s">
        <v>357</v>
      </c>
      <c r="F25" s="163">
        <v>102</v>
      </c>
      <c r="G25" s="163">
        <v>0</v>
      </c>
      <c r="H25" s="163">
        <v>0</v>
      </c>
      <c r="I25" s="118">
        <v>22797434.670000002</v>
      </c>
      <c r="J25" s="184">
        <v>1139871.73</v>
      </c>
      <c r="K25" s="222">
        <v>20768462.98</v>
      </c>
      <c r="L25" s="222">
        <v>1038423.15</v>
      </c>
      <c r="M25" s="222">
        <v>19719780.989999998</v>
      </c>
      <c r="N25" s="222">
        <v>985989.05</v>
      </c>
    </row>
    <row r="26" spans="1:14" ht="15" thickTop="1" x14ac:dyDescent="0.3">
      <c r="A26" s="3"/>
      <c r="B26" s="3"/>
      <c r="C26" s="3"/>
    </row>
    <row r="27" spans="1:14" x14ac:dyDescent="0.3">
      <c r="B27" s="116"/>
    </row>
  </sheetData>
  <mergeCells count="4">
    <mergeCell ref="I5:J5"/>
    <mergeCell ref="K5:L5"/>
    <mergeCell ref="A1:N2"/>
    <mergeCell ref="M5:N5"/>
  </mergeCells>
  <phoneticPr fontId="20" type="noConversion"/>
  <conditionalFormatting sqref="A6 F6:H6">
    <cfRule type="duplicateValues" dxfId="221" priority="11"/>
    <cfRule type="duplicateValues" dxfId="220" priority="12"/>
    <cfRule type="duplicateValues" dxfId="219" priority="13"/>
  </conditionalFormatting>
  <conditionalFormatting sqref="B1:B1048576">
    <cfRule type="duplicateValues" dxfId="218" priority="1"/>
  </conditionalFormatting>
  <conditionalFormatting sqref="B33:B1048576 B26:B27 B6">
    <cfRule type="duplicateValues" dxfId="217" priority="5"/>
  </conditionalFormatting>
  <conditionalFormatting sqref="B26">
    <cfRule type="duplicateValues" dxfId="216" priority="17"/>
    <cfRule type="duplicateValues" dxfId="215" priority="18"/>
  </conditionalFormatting>
  <conditionalFormatting sqref="B26:B27 B33:B1048576">
    <cfRule type="duplicateValues" dxfId="214" priority="15"/>
    <cfRule type="duplicateValues" dxfId="213" priority="16"/>
    <cfRule type="duplicateValues" dxfId="212" priority="19"/>
    <cfRule type="duplicateValues" dxfId="211" priority="21"/>
    <cfRule type="duplicateValues" dxfId="210" priority="22"/>
    <cfRule type="duplicateValues" dxfId="209" priority="23"/>
  </conditionalFormatting>
  <conditionalFormatting sqref="B27 B33:B1048576">
    <cfRule type="duplicateValues" dxfId="208" priority="14"/>
    <cfRule type="duplicateValues" dxfId="207" priority="20"/>
    <cfRule type="duplicateValues" dxfId="206" priority="24"/>
  </conditionalFormatting>
  <conditionalFormatting sqref="B30:B1048576 B6:B28">
    <cfRule type="duplicateValues" dxfId="205" priority="2"/>
  </conditionalFormatting>
  <conditionalFormatting sqref="B33:B1048576 B6:B27">
    <cfRule type="duplicateValues" dxfId="204" priority="3"/>
    <cfRule type="duplicateValues" dxfId="203" priority="4"/>
  </conditionalFormatting>
  <printOptions horizontalCentered="1"/>
  <pageMargins left="0" right="0" top="0.5" bottom="0" header="0.3" footer="0"/>
  <pageSetup scale="43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9CB0E-E11A-4821-ADFF-3C4825795DF6}">
  <dimension ref="A1:J93"/>
  <sheetViews>
    <sheetView view="pageBreakPreview" topLeftCell="A41" zoomScale="88" zoomScaleNormal="81" zoomScaleSheetLayoutView="88" workbookViewId="0">
      <selection activeCell="A57" sqref="A57:XFD57"/>
    </sheetView>
  </sheetViews>
  <sheetFormatPr defaultColWidth="9.44140625" defaultRowHeight="20.399999999999999" customHeight="1" x14ac:dyDescent="0.3"/>
  <cols>
    <col min="1" max="1" width="6.5546875" style="1" bestFit="1" customWidth="1"/>
    <col min="2" max="2" width="21.33203125" style="1" customWidth="1"/>
    <col min="3" max="3" width="15.5546875" style="1" customWidth="1"/>
    <col min="4" max="4" width="27.44140625" style="1" customWidth="1"/>
    <col min="5" max="5" width="10.109375" style="1" bestFit="1" customWidth="1"/>
    <col min="6" max="6" width="12.5546875" style="1" customWidth="1"/>
    <col min="7" max="7" width="18.44140625" style="1" customWidth="1"/>
    <col min="8" max="8" width="16.33203125" style="1" customWidth="1"/>
    <col min="9" max="9" width="25.77734375" style="1" customWidth="1"/>
    <col min="10" max="10" width="16" style="1" customWidth="1"/>
    <col min="11" max="11" width="9.44140625" style="1" customWidth="1"/>
    <col min="12" max="16384" width="9.44140625" style="1"/>
  </cols>
  <sheetData>
    <row r="1" spans="1:10" ht="43.8" customHeight="1" x14ac:dyDescent="0.3">
      <c r="A1" s="276" t="s">
        <v>25</v>
      </c>
      <c r="B1" s="271"/>
      <c r="C1" s="271"/>
      <c r="D1" s="271"/>
      <c r="E1" s="271"/>
      <c r="F1" s="271"/>
      <c r="G1" s="271"/>
      <c r="H1" s="271"/>
      <c r="I1" s="271"/>
      <c r="J1" s="271"/>
    </row>
    <row r="2" spans="1:10" ht="10.95" customHeight="1" x14ac:dyDescent="0.3"/>
    <row r="3" spans="1:10" ht="7.2" customHeight="1" x14ac:dyDescent="0.3"/>
    <row r="4" spans="1:10" ht="31.8" customHeight="1" thickBot="1" x14ac:dyDescent="0.35">
      <c r="A4" s="36" t="s">
        <v>5</v>
      </c>
      <c r="B4" s="97" t="s">
        <v>6</v>
      </c>
      <c r="C4" s="97" t="s">
        <v>8</v>
      </c>
      <c r="D4" s="97" t="s">
        <v>7</v>
      </c>
      <c r="E4" s="97" t="s">
        <v>17</v>
      </c>
      <c r="F4" s="97" t="s">
        <v>9</v>
      </c>
      <c r="G4" s="97" t="s">
        <v>18</v>
      </c>
      <c r="H4" s="97" t="s">
        <v>19</v>
      </c>
      <c r="I4" s="99" t="s">
        <v>10</v>
      </c>
      <c r="J4" s="109" t="s">
        <v>76</v>
      </c>
    </row>
    <row r="5" spans="1:10" ht="19.8" customHeight="1" thickTop="1" thickBot="1" x14ac:dyDescent="0.35">
      <c r="A5" s="124">
        <f t="shared" ref="A5:A9" si="0">ROW()-4</f>
        <v>1</v>
      </c>
      <c r="B5" s="16" t="s">
        <v>488</v>
      </c>
      <c r="C5" s="16" t="s">
        <v>115</v>
      </c>
      <c r="D5" s="16" t="s">
        <v>116</v>
      </c>
      <c r="E5" s="16" t="s">
        <v>119</v>
      </c>
      <c r="F5" s="16">
        <v>121</v>
      </c>
      <c r="G5" s="16">
        <v>0</v>
      </c>
      <c r="H5" s="16">
        <v>95.61</v>
      </c>
      <c r="I5" s="125">
        <v>24617727.079999998</v>
      </c>
      <c r="J5" s="126">
        <v>1230886.3500000001</v>
      </c>
    </row>
    <row r="6" spans="1:10" ht="19.8" customHeight="1" thickTop="1" thickBot="1" x14ac:dyDescent="0.35">
      <c r="A6" s="124">
        <f t="shared" si="0"/>
        <v>2</v>
      </c>
      <c r="B6" s="16" t="s">
        <v>284</v>
      </c>
      <c r="C6" s="16" t="s">
        <v>115</v>
      </c>
      <c r="D6" s="16" t="s">
        <v>118</v>
      </c>
      <c r="E6" s="16" t="s">
        <v>119</v>
      </c>
      <c r="F6" s="16">
        <v>155.32</v>
      </c>
      <c r="G6" s="16">
        <v>0</v>
      </c>
      <c r="H6" s="16">
        <v>126.04</v>
      </c>
      <c r="I6" s="125">
        <v>31866788.09</v>
      </c>
      <c r="J6" s="126">
        <v>1593339.4</v>
      </c>
    </row>
    <row r="7" spans="1:10" ht="19.8" customHeight="1" thickTop="1" thickBot="1" x14ac:dyDescent="0.35">
      <c r="A7" s="124">
        <f t="shared" si="0"/>
        <v>3</v>
      </c>
      <c r="B7" s="16" t="s">
        <v>285</v>
      </c>
      <c r="C7" s="16" t="s">
        <v>115</v>
      </c>
      <c r="D7" s="16" t="s">
        <v>116</v>
      </c>
      <c r="E7" s="16" t="s">
        <v>117</v>
      </c>
      <c r="F7" s="16">
        <v>127</v>
      </c>
      <c r="G7" s="16">
        <v>0</v>
      </c>
      <c r="H7" s="16">
        <v>0</v>
      </c>
      <c r="I7" s="125">
        <v>19725582.920000002</v>
      </c>
      <c r="J7" s="126">
        <v>986279.15</v>
      </c>
    </row>
    <row r="8" spans="1:10" ht="19.8" customHeight="1" thickTop="1" thickBot="1" x14ac:dyDescent="0.35">
      <c r="A8" s="124">
        <f t="shared" si="0"/>
        <v>4</v>
      </c>
      <c r="B8" s="16" t="s">
        <v>287</v>
      </c>
      <c r="C8" s="16" t="s">
        <v>115</v>
      </c>
      <c r="D8" s="16" t="s">
        <v>116</v>
      </c>
      <c r="E8" s="16" t="s">
        <v>117</v>
      </c>
      <c r="F8" s="16">
        <v>129.93</v>
      </c>
      <c r="G8" s="16">
        <v>0</v>
      </c>
      <c r="H8" s="16">
        <v>0</v>
      </c>
      <c r="I8" s="125">
        <v>19113444.82</v>
      </c>
      <c r="J8" s="126">
        <v>955672.24</v>
      </c>
    </row>
    <row r="9" spans="1:10" ht="19.8" customHeight="1" thickTop="1" thickBot="1" x14ac:dyDescent="0.35">
      <c r="A9" s="124">
        <f t="shared" si="0"/>
        <v>5</v>
      </c>
      <c r="B9" s="16" t="s">
        <v>288</v>
      </c>
      <c r="C9" s="16" t="s">
        <v>115</v>
      </c>
      <c r="D9" s="16" t="s">
        <v>118</v>
      </c>
      <c r="E9" s="16" t="s">
        <v>117</v>
      </c>
      <c r="F9" s="16">
        <v>155.25</v>
      </c>
      <c r="G9" s="16">
        <v>0</v>
      </c>
      <c r="H9" s="16">
        <v>0</v>
      </c>
      <c r="I9" s="125">
        <v>23706550.16</v>
      </c>
      <c r="J9" s="126">
        <v>1185327.51</v>
      </c>
    </row>
    <row r="10" spans="1:10" ht="19.8" customHeight="1" thickTop="1" thickBot="1" x14ac:dyDescent="0.35">
      <c r="A10" s="124">
        <f t="shared" ref="A10:A26" si="1">ROW()-4</f>
        <v>6</v>
      </c>
      <c r="B10" s="16" t="s">
        <v>289</v>
      </c>
      <c r="C10" s="16" t="s">
        <v>115</v>
      </c>
      <c r="D10" s="16" t="s">
        <v>116</v>
      </c>
      <c r="E10" s="16" t="s">
        <v>135</v>
      </c>
      <c r="F10" s="16">
        <v>127</v>
      </c>
      <c r="G10" s="16">
        <v>0</v>
      </c>
      <c r="H10" s="16">
        <v>0</v>
      </c>
      <c r="I10" s="125">
        <v>19798317.109999999</v>
      </c>
      <c r="J10" s="126">
        <v>989915.86</v>
      </c>
    </row>
    <row r="11" spans="1:10" ht="19.8" customHeight="1" thickTop="1" thickBot="1" x14ac:dyDescent="0.35">
      <c r="A11" s="124">
        <f t="shared" si="1"/>
        <v>7</v>
      </c>
      <c r="B11" s="16" t="s">
        <v>290</v>
      </c>
      <c r="C11" s="16" t="s">
        <v>115</v>
      </c>
      <c r="D11" s="16" t="s">
        <v>116</v>
      </c>
      <c r="E11" s="16" t="s">
        <v>135</v>
      </c>
      <c r="F11" s="16">
        <v>129.93</v>
      </c>
      <c r="G11" s="16">
        <v>0</v>
      </c>
      <c r="H11" s="16">
        <v>0</v>
      </c>
      <c r="I11" s="125">
        <v>19140681.210000001</v>
      </c>
      <c r="J11" s="126">
        <v>957034.06</v>
      </c>
    </row>
    <row r="12" spans="1:10" ht="19.8" customHeight="1" thickTop="1" thickBot="1" x14ac:dyDescent="0.35">
      <c r="A12" s="124">
        <f t="shared" si="1"/>
        <v>8</v>
      </c>
      <c r="B12" s="16" t="s">
        <v>291</v>
      </c>
      <c r="C12" s="16" t="s">
        <v>115</v>
      </c>
      <c r="D12" s="16" t="s">
        <v>116</v>
      </c>
      <c r="E12" s="16" t="s">
        <v>137</v>
      </c>
      <c r="F12" s="16">
        <v>127</v>
      </c>
      <c r="G12" s="16">
        <v>0</v>
      </c>
      <c r="H12" s="16">
        <v>0</v>
      </c>
      <c r="I12" s="125">
        <v>19909332.460000001</v>
      </c>
      <c r="J12" s="126">
        <v>995466.62</v>
      </c>
    </row>
    <row r="13" spans="1:10" ht="19.8" customHeight="1" thickTop="1" thickBot="1" x14ac:dyDescent="0.35">
      <c r="A13" s="124">
        <f t="shared" si="1"/>
        <v>9</v>
      </c>
      <c r="B13" s="16" t="s">
        <v>292</v>
      </c>
      <c r="C13" s="16" t="s">
        <v>115</v>
      </c>
      <c r="D13" s="16" t="s">
        <v>116</v>
      </c>
      <c r="E13" s="16" t="s">
        <v>137</v>
      </c>
      <c r="F13" s="16">
        <v>129.93</v>
      </c>
      <c r="G13" s="16">
        <v>0</v>
      </c>
      <c r="H13" s="16">
        <v>0</v>
      </c>
      <c r="I13" s="125">
        <v>19158838.800000001</v>
      </c>
      <c r="J13" s="126">
        <v>957941.94</v>
      </c>
    </row>
    <row r="14" spans="1:10" ht="19.8" customHeight="1" thickTop="1" thickBot="1" x14ac:dyDescent="0.35">
      <c r="A14" s="124">
        <f t="shared" si="1"/>
        <v>10</v>
      </c>
      <c r="B14" s="16" t="s">
        <v>293</v>
      </c>
      <c r="C14" s="16" t="s">
        <v>115</v>
      </c>
      <c r="D14" s="16" t="s">
        <v>116</v>
      </c>
      <c r="E14" s="16" t="s">
        <v>138</v>
      </c>
      <c r="F14" s="16">
        <v>127</v>
      </c>
      <c r="G14" s="16">
        <v>0</v>
      </c>
      <c r="H14" s="16">
        <v>0</v>
      </c>
      <c r="I14" s="125">
        <v>19974932.440000001</v>
      </c>
      <c r="J14" s="126">
        <v>998746.62</v>
      </c>
    </row>
    <row r="15" spans="1:10" ht="19.8" customHeight="1" thickTop="1" thickBot="1" x14ac:dyDescent="0.35">
      <c r="A15" s="124">
        <f t="shared" si="1"/>
        <v>11</v>
      </c>
      <c r="B15" s="16" t="s">
        <v>294</v>
      </c>
      <c r="C15" s="16" t="s">
        <v>115</v>
      </c>
      <c r="D15" s="16" t="s">
        <v>116</v>
      </c>
      <c r="E15" s="16" t="s">
        <v>138</v>
      </c>
      <c r="F15" s="16">
        <v>129.93</v>
      </c>
      <c r="G15" s="16">
        <v>0</v>
      </c>
      <c r="H15" s="16">
        <v>0</v>
      </c>
      <c r="I15" s="125">
        <v>19857906.02</v>
      </c>
      <c r="J15" s="126">
        <v>992895.3</v>
      </c>
    </row>
    <row r="16" spans="1:10" ht="19.8" customHeight="1" thickTop="1" thickBot="1" x14ac:dyDescent="0.35">
      <c r="A16" s="124">
        <f t="shared" si="1"/>
        <v>12</v>
      </c>
      <c r="B16" s="16" t="s">
        <v>126</v>
      </c>
      <c r="C16" s="16" t="s">
        <v>115</v>
      </c>
      <c r="D16" s="16" t="s">
        <v>116</v>
      </c>
      <c r="E16" s="16" t="s">
        <v>119</v>
      </c>
      <c r="F16" s="16">
        <v>110</v>
      </c>
      <c r="G16" s="16">
        <v>0</v>
      </c>
      <c r="H16" s="16">
        <v>138.36000000000001</v>
      </c>
      <c r="I16" s="125">
        <v>25932712.890000001</v>
      </c>
      <c r="J16" s="126">
        <v>1296635.6399999999</v>
      </c>
    </row>
    <row r="17" spans="1:10" ht="19.8" customHeight="1" thickTop="1" thickBot="1" x14ac:dyDescent="0.35">
      <c r="A17" s="124">
        <f t="shared" si="1"/>
        <v>13</v>
      </c>
      <c r="B17" s="16" t="s">
        <v>489</v>
      </c>
      <c r="C17" s="16" t="s">
        <v>115</v>
      </c>
      <c r="D17" s="16" t="s">
        <v>116</v>
      </c>
      <c r="E17" s="16" t="s">
        <v>119</v>
      </c>
      <c r="F17" s="16">
        <v>121</v>
      </c>
      <c r="G17" s="16">
        <v>0</v>
      </c>
      <c r="H17" s="16">
        <v>130.68</v>
      </c>
      <c r="I17" s="125">
        <v>27393318.800000001</v>
      </c>
      <c r="J17" s="126">
        <v>1369665.94</v>
      </c>
    </row>
    <row r="18" spans="1:10" ht="19.8" customHeight="1" thickTop="1" thickBot="1" x14ac:dyDescent="0.35">
      <c r="A18" s="124">
        <f t="shared" si="1"/>
        <v>14</v>
      </c>
      <c r="B18" s="16" t="s">
        <v>490</v>
      </c>
      <c r="C18" s="16" t="s">
        <v>115</v>
      </c>
      <c r="D18" s="16" t="s">
        <v>118</v>
      </c>
      <c r="E18" s="16" t="s">
        <v>119</v>
      </c>
      <c r="F18" s="16">
        <v>176.91200000000001</v>
      </c>
      <c r="G18" s="16">
        <v>0</v>
      </c>
      <c r="H18" s="16">
        <v>128.21</v>
      </c>
      <c r="I18" s="125">
        <v>35231666.32</v>
      </c>
      <c r="J18" s="126">
        <v>1761583.32</v>
      </c>
    </row>
    <row r="19" spans="1:10" ht="19.8" customHeight="1" thickTop="1" thickBot="1" x14ac:dyDescent="0.35">
      <c r="A19" s="124">
        <f t="shared" si="1"/>
        <v>15</v>
      </c>
      <c r="B19" s="16" t="s">
        <v>283</v>
      </c>
      <c r="C19" s="16" t="s">
        <v>115</v>
      </c>
      <c r="D19" s="16" t="s">
        <v>118</v>
      </c>
      <c r="E19" s="16" t="s">
        <v>119</v>
      </c>
      <c r="F19" s="16">
        <v>155.32</v>
      </c>
      <c r="G19" s="16">
        <v>0</v>
      </c>
      <c r="H19" s="16">
        <v>125.65</v>
      </c>
      <c r="I19" s="125">
        <v>31291178.469999999</v>
      </c>
      <c r="J19" s="126">
        <v>1564558.92</v>
      </c>
    </row>
    <row r="20" spans="1:10" ht="19.8" customHeight="1" thickTop="1" thickBot="1" x14ac:dyDescent="0.35">
      <c r="A20" s="124">
        <f t="shared" si="1"/>
        <v>16</v>
      </c>
      <c r="B20" s="16" t="s">
        <v>127</v>
      </c>
      <c r="C20" s="16" t="s">
        <v>115</v>
      </c>
      <c r="D20" s="16" t="s">
        <v>116</v>
      </c>
      <c r="E20" s="16" t="s">
        <v>117</v>
      </c>
      <c r="F20" s="16">
        <v>127</v>
      </c>
      <c r="G20" s="16">
        <v>0</v>
      </c>
      <c r="H20" s="16">
        <v>0</v>
      </c>
      <c r="I20" s="125">
        <v>20280224.640000001</v>
      </c>
      <c r="J20" s="126">
        <v>1014011.23</v>
      </c>
    </row>
    <row r="21" spans="1:10" ht="19.8" customHeight="1" thickTop="1" thickBot="1" x14ac:dyDescent="0.35">
      <c r="A21" s="124">
        <f t="shared" si="1"/>
        <v>17</v>
      </c>
      <c r="B21" s="16" t="s">
        <v>491</v>
      </c>
      <c r="C21" s="16" t="s">
        <v>115</v>
      </c>
      <c r="D21" s="16" t="s">
        <v>286</v>
      </c>
      <c r="E21" s="16" t="s">
        <v>117</v>
      </c>
      <c r="F21" s="16">
        <v>93</v>
      </c>
      <c r="G21" s="16">
        <v>0</v>
      </c>
      <c r="H21" s="16">
        <v>0</v>
      </c>
      <c r="I21" s="125">
        <v>14266010.01</v>
      </c>
      <c r="J21" s="126">
        <v>713300.5</v>
      </c>
    </row>
    <row r="22" spans="1:10" ht="19.8" customHeight="1" thickTop="1" thickBot="1" x14ac:dyDescent="0.35">
      <c r="A22" s="124">
        <f t="shared" si="1"/>
        <v>18</v>
      </c>
      <c r="B22" s="16" t="s">
        <v>415</v>
      </c>
      <c r="C22" s="16" t="s">
        <v>115</v>
      </c>
      <c r="D22" s="16" t="s">
        <v>116</v>
      </c>
      <c r="E22" s="16" t="s">
        <v>135</v>
      </c>
      <c r="F22" s="16">
        <v>127</v>
      </c>
      <c r="G22" s="16">
        <v>0</v>
      </c>
      <c r="H22" s="16">
        <v>0</v>
      </c>
      <c r="I22" s="125">
        <v>20306847.449999999</v>
      </c>
      <c r="J22" s="126">
        <v>1015342.37</v>
      </c>
    </row>
    <row r="23" spans="1:10" ht="19.8" customHeight="1" thickTop="1" thickBot="1" x14ac:dyDescent="0.35">
      <c r="A23" s="124">
        <f t="shared" si="1"/>
        <v>19</v>
      </c>
      <c r="B23" s="16" t="s">
        <v>128</v>
      </c>
      <c r="C23" s="16" t="s">
        <v>115</v>
      </c>
      <c r="D23" s="16" t="s">
        <v>116</v>
      </c>
      <c r="E23" s="16" t="s">
        <v>135</v>
      </c>
      <c r="F23" s="16">
        <v>129.93</v>
      </c>
      <c r="G23" s="16">
        <v>0</v>
      </c>
      <c r="H23" s="16">
        <v>0</v>
      </c>
      <c r="I23" s="125">
        <v>19821590.84</v>
      </c>
      <c r="J23" s="126">
        <v>991079.54</v>
      </c>
    </row>
    <row r="24" spans="1:10" ht="19.8" customHeight="1" thickTop="1" thickBot="1" x14ac:dyDescent="0.35">
      <c r="A24" s="124">
        <f t="shared" si="1"/>
        <v>20</v>
      </c>
      <c r="B24" s="16" t="s">
        <v>129</v>
      </c>
      <c r="C24" s="16" t="s">
        <v>115</v>
      </c>
      <c r="D24" s="16" t="s">
        <v>116</v>
      </c>
      <c r="E24" s="16" t="s">
        <v>136</v>
      </c>
      <c r="F24" s="16">
        <v>127</v>
      </c>
      <c r="G24" s="16">
        <v>0</v>
      </c>
      <c r="H24" s="16">
        <v>0</v>
      </c>
      <c r="I24" s="125">
        <v>20315721.719999999</v>
      </c>
      <c r="J24" s="126">
        <v>1015786.09</v>
      </c>
    </row>
    <row r="25" spans="1:10" ht="19.8" customHeight="1" thickTop="1" thickBot="1" x14ac:dyDescent="0.35">
      <c r="A25" s="124">
        <f t="shared" si="1"/>
        <v>21</v>
      </c>
      <c r="B25" s="16" t="s">
        <v>130</v>
      </c>
      <c r="C25" s="16" t="s">
        <v>115</v>
      </c>
      <c r="D25" s="16" t="s">
        <v>116</v>
      </c>
      <c r="E25" s="16" t="s">
        <v>136</v>
      </c>
      <c r="F25" s="16">
        <v>129.93</v>
      </c>
      <c r="G25" s="16">
        <v>0</v>
      </c>
      <c r="H25" s="16">
        <v>0</v>
      </c>
      <c r="I25" s="125">
        <v>19830669.629999999</v>
      </c>
      <c r="J25" s="126">
        <v>991533.48</v>
      </c>
    </row>
    <row r="26" spans="1:10" ht="19.8" customHeight="1" thickTop="1" thickBot="1" x14ac:dyDescent="0.35">
      <c r="A26" s="124">
        <f t="shared" si="1"/>
        <v>22</v>
      </c>
      <c r="B26" s="16" t="s">
        <v>131</v>
      </c>
      <c r="C26" s="16" t="s">
        <v>115</v>
      </c>
      <c r="D26" s="16" t="s">
        <v>116</v>
      </c>
      <c r="E26" s="16" t="s">
        <v>137</v>
      </c>
      <c r="F26" s="16">
        <v>127</v>
      </c>
      <c r="G26" s="16">
        <v>0</v>
      </c>
      <c r="H26" s="16">
        <v>0</v>
      </c>
      <c r="I26" s="125">
        <v>20324595.98</v>
      </c>
      <c r="J26" s="126">
        <v>1016229.8</v>
      </c>
    </row>
    <row r="27" spans="1:10" ht="19.8" customHeight="1" thickTop="1" thickBot="1" x14ac:dyDescent="0.35">
      <c r="A27" s="124">
        <f>ROW()-4</f>
        <v>23</v>
      </c>
      <c r="B27" s="16" t="s">
        <v>132</v>
      </c>
      <c r="C27" s="16" t="s">
        <v>115</v>
      </c>
      <c r="D27" s="16" t="s">
        <v>116</v>
      </c>
      <c r="E27" s="16" t="s">
        <v>137</v>
      </c>
      <c r="F27" s="16">
        <v>129.93</v>
      </c>
      <c r="G27" s="16">
        <v>0</v>
      </c>
      <c r="H27" s="16">
        <v>0</v>
      </c>
      <c r="I27" s="125">
        <v>19839748.43</v>
      </c>
      <c r="J27" s="126">
        <v>991987.42</v>
      </c>
    </row>
    <row r="28" spans="1:10" ht="19.8" customHeight="1" thickTop="1" thickBot="1" x14ac:dyDescent="0.35">
      <c r="A28" s="124">
        <f t="shared" ref="A28:A35" si="2">ROW()-4</f>
        <v>24</v>
      </c>
      <c r="B28" s="16" t="s">
        <v>133</v>
      </c>
      <c r="C28" s="16" t="s">
        <v>115</v>
      </c>
      <c r="D28" s="16" t="s">
        <v>116</v>
      </c>
      <c r="E28" s="16" t="s">
        <v>138</v>
      </c>
      <c r="F28" s="16">
        <v>127</v>
      </c>
      <c r="G28" s="16">
        <v>0</v>
      </c>
      <c r="H28" s="16">
        <v>0</v>
      </c>
      <c r="I28" s="125">
        <v>20342344.52</v>
      </c>
      <c r="J28" s="126">
        <v>1017117.23</v>
      </c>
    </row>
    <row r="29" spans="1:10" ht="19.8" customHeight="1" thickTop="1" thickBot="1" x14ac:dyDescent="0.35">
      <c r="A29" s="21">
        <f>ROW()-4</f>
        <v>25</v>
      </c>
      <c r="B29" s="227" t="s">
        <v>134</v>
      </c>
      <c r="C29" s="227" t="s">
        <v>115</v>
      </c>
      <c r="D29" s="227" t="s">
        <v>116</v>
      </c>
      <c r="E29" s="227" t="s">
        <v>138</v>
      </c>
      <c r="F29" s="227">
        <v>129.93</v>
      </c>
      <c r="G29" s="227">
        <v>0</v>
      </c>
      <c r="H29" s="227">
        <v>0</v>
      </c>
      <c r="I29" s="228">
        <v>19857906.02</v>
      </c>
      <c r="J29" s="229">
        <v>992895.3</v>
      </c>
    </row>
    <row r="30" spans="1:10" ht="19.8" customHeight="1" thickTop="1" thickBot="1" x14ac:dyDescent="0.35">
      <c r="A30" s="124">
        <f t="shared" si="2"/>
        <v>26</v>
      </c>
      <c r="B30" s="16" t="s">
        <v>467</v>
      </c>
      <c r="C30" s="16" t="s">
        <v>115</v>
      </c>
      <c r="D30" s="16" t="s">
        <v>118</v>
      </c>
      <c r="E30" s="16" t="s">
        <v>119</v>
      </c>
      <c r="F30" s="16">
        <v>173</v>
      </c>
      <c r="G30" s="16">
        <v>0</v>
      </c>
      <c r="H30" s="16">
        <v>116.3</v>
      </c>
      <c r="I30" s="125">
        <v>34119254.079999998</v>
      </c>
      <c r="J30" s="126">
        <v>1705962.7</v>
      </c>
    </row>
    <row r="31" spans="1:10" ht="19.8" customHeight="1" thickTop="1" thickBot="1" x14ac:dyDescent="0.35">
      <c r="A31" s="124">
        <f t="shared" si="2"/>
        <v>27</v>
      </c>
      <c r="B31" s="16" t="s">
        <v>458</v>
      </c>
      <c r="C31" s="16" t="s">
        <v>115</v>
      </c>
      <c r="D31" s="16" t="s">
        <v>116</v>
      </c>
      <c r="E31" s="16" t="s">
        <v>135</v>
      </c>
      <c r="F31" s="16">
        <v>127</v>
      </c>
      <c r="G31" s="16">
        <v>0</v>
      </c>
      <c r="H31" s="16">
        <v>0</v>
      </c>
      <c r="I31" s="125">
        <v>19793096.949999999</v>
      </c>
      <c r="J31" s="126">
        <v>989654.85</v>
      </c>
    </row>
    <row r="32" spans="1:10" ht="19.8" customHeight="1" thickTop="1" thickBot="1" x14ac:dyDescent="0.35">
      <c r="A32" s="124">
        <f t="shared" si="2"/>
        <v>28</v>
      </c>
      <c r="B32" s="16" t="s">
        <v>433</v>
      </c>
      <c r="C32" s="16" t="s">
        <v>115</v>
      </c>
      <c r="D32" s="16" t="s">
        <v>116</v>
      </c>
      <c r="E32" s="16" t="s">
        <v>119</v>
      </c>
      <c r="F32" s="16">
        <v>110</v>
      </c>
      <c r="G32" s="16">
        <v>0</v>
      </c>
      <c r="H32" s="16">
        <v>85.44</v>
      </c>
      <c r="I32" s="125">
        <v>23915767.84</v>
      </c>
      <c r="J32" s="126">
        <v>1195788.3899999999</v>
      </c>
    </row>
    <row r="33" spans="1:10" ht="19.8" customHeight="1" thickTop="1" thickBot="1" x14ac:dyDescent="0.35">
      <c r="A33" s="124">
        <f>ROW()-4</f>
        <v>29</v>
      </c>
      <c r="B33" s="16" t="s">
        <v>452</v>
      </c>
      <c r="C33" s="16" t="s">
        <v>115</v>
      </c>
      <c r="D33" s="16" t="s">
        <v>118</v>
      </c>
      <c r="E33" s="16" t="s">
        <v>119</v>
      </c>
      <c r="F33" s="16">
        <v>155.32</v>
      </c>
      <c r="G33" s="16">
        <v>0</v>
      </c>
      <c r="H33" s="16">
        <v>106.7</v>
      </c>
      <c r="I33" s="125">
        <v>32040278.27</v>
      </c>
      <c r="J33" s="126">
        <v>1602013.91</v>
      </c>
    </row>
    <row r="34" spans="1:10" ht="19.8" customHeight="1" thickTop="1" thickBot="1" x14ac:dyDescent="0.35">
      <c r="A34" s="124">
        <f t="shared" si="2"/>
        <v>30</v>
      </c>
      <c r="B34" s="16" t="s">
        <v>434</v>
      </c>
      <c r="C34" s="16" t="s">
        <v>115</v>
      </c>
      <c r="D34" s="16" t="s">
        <v>116</v>
      </c>
      <c r="E34" s="16" t="s">
        <v>117</v>
      </c>
      <c r="F34" s="16">
        <v>129.93</v>
      </c>
      <c r="G34" s="16">
        <v>0</v>
      </c>
      <c r="H34" s="16">
        <v>0</v>
      </c>
      <c r="I34" s="125">
        <v>20066718.300000001</v>
      </c>
      <c r="J34" s="126">
        <v>1003335.92</v>
      </c>
    </row>
    <row r="35" spans="1:10" ht="19.8" customHeight="1" thickTop="1" thickBot="1" x14ac:dyDescent="0.35">
      <c r="A35" s="124">
        <f t="shared" si="2"/>
        <v>31</v>
      </c>
      <c r="B35" s="16" t="s">
        <v>435</v>
      </c>
      <c r="C35" s="16" t="s">
        <v>115</v>
      </c>
      <c r="D35" s="16" t="s">
        <v>116</v>
      </c>
      <c r="E35" s="16" t="s">
        <v>135</v>
      </c>
      <c r="F35" s="16">
        <v>129.93</v>
      </c>
      <c r="G35" s="16">
        <v>0</v>
      </c>
      <c r="H35" s="16">
        <v>0</v>
      </c>
      <c r="I35" s="125">
        <v>20093954.690000001</v>
      </c>
      <c r="J35" s="126">
        <v>1004697.73</v>
      </c>
    </row>
    <row r="36" spans="1:10" ht="19.8" customHeight="1" thickTop="1" thickBot="1" x14ac:dyDescent="0.35">
      <c r="A36" s="124">
        <f t="shared" ref="A36:A46" si="3">ROW()-4</f>
        <v>32</v>
      </c>
      <c r="B36" s="16" t="s">
        <v>436</v>
      </c>
      <c r="C36" s="16" t="s">
        <v>115</v>
      </c>
      <c r="D36" s="16" t="s">
        <v>116</v>
      </c>
      <c r="E36" s="16" t="s">
        <v>136</v>
      </c>
      <c r="F36" s="16">
        <v>129.93</v>
      </c>
      <c r="G36" s="16">
        <v>0</v>
      </c>
      <c r="H36" s="16">
        <v>0</v>
      </c>
      <c r="I36" s="125">
        <v>20103033.48</v>
      </c>
      <c r="J36" s="126">
        <v>1005151.67</v>
      </c>
    </row>
    <row r="37" spans="1:10" ht="19.8" customHeight="1" thickTop="1" thickBot="1" x14ac:dyDescent="0.35">
      <c r="A37" s="124">
        <f t="shared" si="3"/>
        <v>33</v>
      </c>
      <c r="B37" s="16" t="s">
        <v>437</v>
      </c>
      <c r="C37" s="16" t="s">
        <v>115</v>
      </c>
      <c r="D37" s="16" t="s">
        <v>116</v>
      </c>
      <c r="E37" s="16" t="s">
        <v>137</v>
      </c>
      <c r="F37" s="16">
        <v>129.93</v>
      </c>
      <c r="G37" s="16">
        <v>0</v>
      </c>
      <c r="H37" s="16">
        <v>0</v>
      </c>
      <c r="I37" s="125">
        <v>20112112.280000001</v>
      </c>
      <c r="J37" s="126">
        <v>1005605.61</v>
      </c>
    </row>
    <row r="38" spans="1:10" ht="19.8" customHeight="1" thickTop="1" thickBot="1" x14ac:dyDescent="0.35">
      <c r="A38" s="21">
        <f>ROW()-4</f>
        <v>34</v>
      </c>
      <c r="B38" s="227" t="s">
        <v>438</v>
      </c>
      <c r="C38" s="227" t="s">
        <v>115</v>
      </c>
      <c r="D38" s="227" t="s">
        <v>116</v>
      </c>
      <c r="E38" s="227" t="s">
        <v>138</v>
      </c>
      <c r="F38" s="227">
        <v>127</v>
      </c>
      <c r="G38" s="227">
        <v>0</v>
      </c>
      <c r="H38" s="227">
        <v>0</v>
      </c>
      <c r="I38" s="228">
        <v>20284661.780000001</v>
      </c>
      <c r="J38" s="229">
        <v>1014233.09</v>
      </c>
    </row>
    <row r="39" spans="1:10" ht="19.8" customHeight="1" thickTop="1" thickBot="1" x14ac:dyDescent="0.35">
      <c r="A39" s="124">
        <f t="shared" si="3"/>
        <v>35</v>
      </c>
      <c r="B39" s="16" t="s">
        <v>439</v>
      </c>
      <c r="C39" s="16" t="s">
        <v>115</v>
      </c>
      <c r="D39" s="16" t="s">
        <v>116</v>
      </c>
      <c r="E39" s="16" t="s">
        <v>138</v>
      </c>
      <c r="F39" s="16">
        <v>129.93</v>
      </c>
      <c r="G39" s="16">
        <v>0</v>
      </c>
      <c r="H39" s="16">
        <v>0</v>
      </c>
      <c r="I39" s="125">
        <v>20130269.870000001</v>
      </c>
      <c r="J39" s="126">
        <v>1006513.49</v>
      </c>
    </row>
    <row r="40" spans="1:10" ht="19.8" customHeight="1" thickTop="1" thickBot="1" x14ac:dyDescent="0.35">
      <c r="A40" s="124">
        <f t="shared" si="3"/>
        <v>36</v>
      </c>
      <c r="B40" s="16" t="s">
        <v>492</v>
      </c>
      <c r="C40" s="16" t="s">
        <v>115</v>
      </c>
      <c r="D40" s="16" t="s">
        <v>118</v>
      </c>
      <c r="E40" s="16" t="s">
        <v>117</v>
      </c>
      <c r="F40" s="16">
        <v>155.25</v>
      </c>
      <c r="G40" s="16">
        <v>0</v>
      </c>
      <c r="H40" s="16">
        <v>0</v>
      </c>
      <c r="I40" s="125">
        <v>24926980.329999998</v>
      </c>
      <c r="J40" s="126">
        <v>1246349.02</v>
      </c>
    </row>
    <row r="41" spans="1:10" ht="19.8" customHeight="1" thickTop="1" thickBot="1" x14ac:dyDescent="0.35">
      <c r="A41" s="21">
        <f>ROW()-4</f>
        <v>37</v>
      </c>
      <c r="B41" s="227" t="s">
        <v>295</v>
      </c>
      <c r="C41" s="227" t="s">
        <v>115</v>
      </c>
      <c r="D41" s="227" t="s">
        <v>116</v>
      </c>
      <c r="E41" s="227" t="s">
        <v>119</v>
      </c>
      <c r="F41" s="227">
        <v>110</v>
      </c>
      <c r="G41" s="227">
        <v>0</v>
      </c>
      <c r="H41" s="227">
        <v>122.96</v>
      </c>
      <c r="I41" s="228">
        <v>25754927.699999999</v>
      </c>
      <c r="J41" s="229">
        <v>1287746.3899999999</v>
      </c>
    </row>
    <row r="42" spans="1:10" ht="19.8" customHeight="1" thickTop="1" thickBot="1" x14ac:dyDescent="0.35">
      <c r="A42" s="124">
        <f t="shared" si="3"/>
        <v>38</v>
      </c>
      <c r="B42" s="16" t="s">
        <v>450</v>
      </c>
      <c r="C42" s="16" t="s">
        <v>115</v>
      </c>
      <c r="D42" s="16" t="s">
        <v>118</v>
      </c>
      <c r="E42" s="16" t="s">
        <v>119</v>
      </c>
      <c r="F42" s="16">
        <v>155.32</v>
      </c>
      <c r="G42" s="16">
        <v>0</v>
      </c>
      <c r="H42" s="16">
        <v>107.31</v>
      </c>
      <c r="I42" s="125">
        <v>31680025.300000001</v>
      </c>
      <c r="J42" s="126">
        <v>1584001.27</v>
      </c>
    </row>
    <row r="43" spans="1:10" ht="19.8" customHeight="1" thickTop="1" thickBot="1" x14ac:dyDescent="0.35">
      <c r="A43" s="124">
        <f t="shared" si="3"/>
        <v>39</v>
      </c>
      <c r="B43" s="16" t="s">
        <v>296</v>
      </c>
      <c r="C43" s="16" t="s">
        <v>115</v>
      </c>
      <c r="D43" s="16" t="s">
        <v>116</v>
      </c>
      <c r="E43" s="16" t="s">
        <v>117</v>
      </c>
      <c r="F43" s="16">
        <v>127</v>
      </c>
      <c r="G43" s="16">
        <v>0</v>
      </c>
      <c r="H43" s="16">
        <v>0</v>
      </c>
      <c r="I43" s="125">
        <v>20502081.34</v>
      </c>
      <c r="J43" s="126">
        <v>1025104.07</v>
      </c>
    </row>
    <row r="44" spans="1:10" ht="19.8" customHeight="1" thickTop="1" thickBot="1" x14ac:dyDescent="0.35">
      <c r="A44" s="124">
        <f t="shared" si="3"/>
        <v>40</v>
      </c>
      <c r="B44" s="16" t="s">
        <v>457</v>
      </c>
      <c r="C44" s="16" t="s">
        <v>115</v>
      </c>
      <c r="D44" s="16" t="s">
        <v>286</v>
      </c>
      <c r="E44" s="16" t="s">
        <v>117</v>
      </c>
      <c r="F44" s="16">
        <v>93</v>
      </c>
      <c r="G44" s="16">
        <v>0</v>
      </c>
      <c r="H44" s="16">
        <v>0</v>
      </c>
      <c r="I44" s="125">
        <v>14054809.43</v>
      </c>
      <c r="J44" s="126">
        <v>702740.47</v>
      </c>
    </row>
    <row r="45" spans="1:10" ht="19.8" customHeight="1" thickTop="1" thickBot="1" x14ac:dyDescent="0.35">
      <c r="A45" s="124">
        <f t="shared" si="3"/>
        <v>41</v>
      </c>
      <c r="B45" s="16" t="s">
        <v>297</v>
      </c>
      <c r="C45" s="16" t="s">
        <v>115</v>
      </c>
      <c r="D45" s="16" t="s">
        <v>116</v>
      </c>
      <c r="E45" s="16" t="s">
        <v>117</v>
      </c>
      <c r="F45" s="16">
        <v>129.93</v>
      </c>
      <c r="G45" s="16">
        <v>0</v>
      </c>
      <c r="H45" s="16">
        <v>0</v>
      </c>
      <c r="I45" s="125">
        <v>20066718.300000001</v>
      </c>
      <c r="J45" s="126">
        <v>1003335.92</v>
      </c>
    </row>
    <row r="46" spans="1:10" ht="19.8" customHeight="1" thickTop="1" thickBot="1" x14ac:dyDescent="0.35">
      <c r="A46" s="124">
        <f t="shared" si="3"/>
        <v>42</v>
      </c>
      <c r="B46" s="16" t="s">
        <v>451</v>
      </c>
      <c r="C46" s="16" t="s">
        <v>115</v>
      </c>
      <c r="D46" s="16" t="s">
        <v>118</v>
      </c>
      <c r="E46" s="16" t="s">
        <v>117</v>
      </c>
      <c r="F46" s="16">
        <v>155.25</v>
      </c>
      <c r="G46" s="16">
        <v>0</v>
      </c>
      <c r="H46" s="16">
        <v>0</v>
      </c>
      <c r="I46" s="125">
        <v>24902412.190000001</v>
      </c>
      <c r="J46" s="126">
        <v>1245120.6100000001</v>
      </c>
    </row>
    <row r="47" spans="1:10" ht="19.8" customHeight="1" thickTop="1" thickBot="1" x14ac:dyDescent="0.35">
      <c r="A47" s="124">
        <f t="shared" ref="A47" si="4">ROW()-4</f>
        <v>43</v>
      </c>
      <c r="B47" s="16" t="s">
        <v>298</v>
      </c>
      <c r="C47" s="16" t="s">
        <v>115</v>
      </c>
      <c r="D47" s="16" t="s">
        <v>116</v>
      </c>
      <c r="E47" s="16" t="s">
        <v>135</v>
      </c>
      <c r="F47" s="16">
        <v>127</v>
      </c>
      <c r="G47" s="16">
        <v>0</v>
      </c>
      <c r="H47" s="16">
        <v>0</v>
      </c>
      <c r="I47" s="125">
        <v>20351218.789999999</v>
      </c>
      <c r="J47" s="126">
        <v>1017560.94</v>
      </c>
    </row>
    <row r="48" spans="1:10" ht="19.8" customHeight="1" thickTop="1" thickBot="1" x14ac:dyDescent="0.35">
      <c r="A48" s="124">
        <f t="shared" ref="A48:A56" si="5">ROW()-4</f>
        <v>44</v>
      </c>
      <c r="B48" s="16" t="s">
        <v>299</v>
      </c>
      <c r="C48" s="16" t="s">
        <v>115</v>
      </c>
      <c r="D48" s="16" t="s">
        <v>116</v>
      </c>
      <c r="E48" s="16" t="s">
        <v>135</v>
      </c>
      <c r="F48" s="16">
        <v>129.93</v>
      </c>
      <c r="G48" s="16">
        <v>0</v>
      </c>
      <c r="H48" s="16">
        <v>0</v>
      </c>
      <c r="I48" s="125">
        <v>19912378.789999999</v>
      </c>
      <c r="J48" s="126">
        <v>995618.94</v>
      </c>
    </row>
    <row r="49" spans="1:10" ht="19.8" customHeight="1" thickTop="1" thickBot="1" x14ac:dyDescent="0.35">
      <c r="A49" s="124">
        <f t="shared" si="5"/>
        <v>45</v>
      </c>
      <c r="B49" s="16" t="s">
        <v>441</v>
      </c>
      <c r="C49" s="16" t="s">
        <v>115</v>
      </c>
      <c r="D49" s="16" t="s">
        <v>116</v>
      </c>
      <c r="E49" s="16" t="s">
        <v>136</v>
      </c>
      <c r="F49" s="16">
        <v>127</v>
      </c>
      <c r="G49" s="16">
        <v>0</v>
      </c>
      <c r="H49" s="16">
        <v>0</v>
      </c>
      <c r="I49" s="125">
        <v>20360093.050000001</v>
      </c>
      <c r="J49" s="126">
        <v>1018004.65</v>
      </c>
    </row>
    <row r="50" spans="1:10" ht="19.8" customHeight="1" thickTop="1" thickBot="1" x14ac:dyDescent="0.35">
      <c r="A50" s="124">
        <f t="shared" si="5"/>
        <v>46</v>
      </c>
      <c r="B50" s="16" t="s">
        <v>300</v>
      </c>
      <c r="C50" s="16" t="s">
        <v>115</v>
      </c>
      <c r="D50" s="16" t="s">
        <v>116</v>
      </c>
      <c r="E50" s="16" t="s">
        <v>136</v>
      </c>
      <c r="F50" s="16">
        <v>129.93</v>
      </c>
      <c r="G50" s="16">
        <v>0</v>
      </c>
      <c r="H50" s="16">
        <v>0</v>
      </c>
      <c r="I50" s="125">
        <v>19921457.579999998</v>
      </c>
      <c r="J50" s="126">
        <v>996072.88</v>
      </c>
    </row>
    <row r="51" spans="1:10" ht="19.8" customHeight="1" thickTop="1" thickBot="1" x14ac:dyDescent="0.35">
      <c r="A51" s="124">
        <f t="shared" si="5"/>
        <v>47</v>
      </c>
      <c r="B51" s="16" t="s">
        <v>301</v>
      </c>
      <c r="C51" s="16" t="s">
        <v>115</v>
      </c>
      <c r="D51" s="16" t="s">
        <v>116</v>
      </c>
      <c r="E51" s="16" t="s">
        <v>137</v>
      </c>
      <c r="F51" s="16">
        <v>127</v>
      </c>
      <c r="G51" s="16">
        <v>0</v>
      </c>
      <c r="H51" s="16">
        <v>0</v>
      </c>
      <c r="I51" s="125">
        <v>20368967.32</v>
      </c>
      <c r="J51" s="126">
        <v>1018448.37</v>
      </c>
    </row>
    <row r="52" spans="1:10" ht="19.8" customHeight="1" thickTop="1" thickBot="1" x14ac:dyDescent="0.35">
      <c r="A52" s="124">
        <f t="shared" si="5"/>
        <v>48</v>
      </c>
      <c r="B52" s="16" t="s">
        <v>302</v>
      </c>
      <c r="C52" s="16" t="s">
        <v>115</v>
      </c>
      <c r="D52" s="16" t="s">
        <v>116</v>
      </c>
      <c r="E52" s="16" t="s">
        <v>137</v>
      </c>
      <c r="F52" s="16">
        <v>129.93</v>
      </c>
      <c r="G52" s="16">
        <v>0</v>
      </c>
      <c r="H52" s="16">
        <v>0</v>
      </c>
      <c r="I52" s="125">
        <v>19930536.379999999</v>
      </c>
      <c r="J52" s="126">
        <v>996526.82</v>
      </c>
    </row>
    <row r="53" spans="1:10" ht="19.8" customHeight="1" thickTop="1" thickBot="1" x14ac:dyDescent="0.35">
      <c r="A53" s="124">
        <f t="shared" si="5"/>
        <v>49</v>
      </c>
      <c r="B53" s="16" t="s">
        <v>303</v>
      </c>
      <c r="C53" s="16" t="s">
        <v>115</v>
      </c>
      <c r="D53" s="16" t="s">
        <v>116</v>
      </c>
      <c r="E53" s="16" t="s">
        <v>138</v>
      </c>
      <c r="F53" s="16">
        <v>127</v>
      </c>
      <c r="G53" s="16">
        <v>0</v>
      </c>
      <c r="H53" s="16">
        <v>0</v>
      </c>
      <c r="I53" s="125">
        <v>20386715.859999999</v>
      </c>
      <c r="J53" s="126">
        <v>1019335.79</v>
      </c>
    </row>
    <row r="54" spans="1:10" ht="19.8" customHeight="1" thickTop="1" thickBot="1" x14ac:dyDescent="0.35">
      <c r="A54" s="124">
        <f>ROW()-4</f>
        <v>50</v>
      </c>
      <c r="B54" s="16" t="s">
        <v>516</v>
      </c>
      <c r="C54" s="16" t="s">
        <v>115</v>
      </c>
      <c r="D54" s="16" t="s">
        <v>118</v>
      </c>
      <c r="E54" s="16" t="s">
        <v>135</v>
      </c>
      <c r="F54" s="16">
        <v>151</v>
      </c>
      <c r="G54" s="16">
        <v>0</v>
      </c>
      <c r="H54" s="16">
        <v>0</v>
      </c>
      <c r="I54" s="125">
        <v>23817995.899999999</v>
      </c>
      <c r="J54" s="126">
        <v>1190899.8</v>
      </c>
    </row>
    <row r="55" spans="1:10" ht="19.8" customHeight="1" thickTop="1" thickBot="1" x14ac:dyDescent="0.35">
      <c r="A55" s="124">
        <f>ROW()-4</f>
        <v>51</v>
      </c>
      <c r="B55" s="16" t="s">
        <v>494</v>
      </c>
      <c r="C55" s="16" t="s">
        <v>115</v>
      </c>
      <c r="D55" s="16" t="s">
        <v>118</v>
      </c>
      <c r="E55" s="16" t="s">
        <v>135</v>
      </c>
      <c r="F55" s="16">
        <v>151</v>
      </c>
      <c r="G55" s="16">
        <v>0</v>
      </c>
      <c r="H55" s="16">
        <v>0</v>
      </c>
      <c r="I55" s="125">
        <v>22861138.300000001</v>
      </c>
      <c r="J55" s="126">
        <v>1143056.92</v>
      </c>
    </row>
    <row r="56" spans="1:10" ht="19.8" customHeight="1" thickTop="1" x14ac:dyDescent="0.3">
      <c r="A56" s="124">
        <f t="shared" si="5"/>
        <v>52</v>
      </c>
      <c r="B56" s="16" t="s">
        <v>304</v>
      </c>
      <c r="C56" s="16" t="s">
        <v>115</v>
      </c>
      <c r="D56" s="16" t="s">
        <v>116</v>
      </c>
      <c r="E56" s="16" t="s">
        <v>138</v>
      </c>
      <c r="F56" s="16">
        <v>129.93</v>
      </c>
      <c r="G56" s="16">
        <v>0</v>
      </c>
      <c r="H56" s="16">
        <v>0</v>
      </c>
      <c r="I56" s="125">
        <v>19948693.969999999</v>
      </c>
      <c r="J56" s="126">
        <v>997434.7</v>
      </c>
    </row>
    <row r="58" spans="1:10" ht="20.399999999999999" customHeight="1" x14ac:dyDescent="0.3">
      <c r="B58" s="136"/>
    </row>
    <row r="59" spans="1:10" ht="20.399999999999999" customHeight="1" x14ac:dyDescent="0.3">
      <c r="B59" s="136"/>
    </row>
    <row r="60" spans="1:10" ht="20.399999999999999" customHeight="1" x14ac:dyDescent="0.3">
      <c r="B60" s="136"/>
    </row>
    <row r="61" spans="1:10" ht="20.399999999999999" customHeight="1" x14ac:dyDescent="0.3">
      <c r="B61" s="136"/>
    </row>
    <row r="62" spans="1:10" ht="20.399999999999999" customHeight="1" x14ac:dyDescent="0.3">
      <c r="B62" s="136"/>
    </row>
    <row r="63" spans="1:10" ht="20.399999999999999" customHeight="1" x14ac:dyDescent="0.3">
      <c r="B63" s="136"/>
    </row>
    <row r="64" spans="1:10" ht="20.399999999999999" customHeight="1" x14ac:dyDescent="0.3">
      <c r="B64" s="136"/>
    </row>
    <row r="65" spans="2:4" ht="20.399999999999999" customHeight="1" x14ac:dyDescent="0.3">
      <c r="B65" s="136"/>
    </row>
    <row r="66" spans="2:4" ht="20.399999999999999" customHeight="1" x14ac:dyDescent="0.3">
      <c r="B66" s="136"/>
    </row>
    <row r="67" spans="2:4" ht="20.399999999999999" customHeight="1" x14ac:dyDescent="0.3">
      <c r="B67" s="136"/>
    </row>
    <row r="68" spans="2:4" ht="20.399999999999999" customHeight="1" x14ac:dyDescent="0.3">
      <c r="B68" s="136"/>
    </row>
    <row r="69" spans="2:4" ht="20.399999999999999" customHeight="1" x14ac:dyDescent="0.3">
      <c r="B69" s="136"/>
      <c r="D69" s="136"/>
    </row>
    <row r="70" spans="2:4" ht="20.399999999999999" customHeight="1" x14ac:dyDescent="0.3">
      <c r="B70" s="136"/>
    </row>
    <row r="71" spans="2:4" ht="20.399999999999999" customHeight="1" x14ac:dyDescent="0.3">
      <c r="B71" s="136"/>
    </row>
    <row r="72" spans="2:4" ht="20.399999999999999" customHeight="1" x14ac:dyDescent="0.3">
      <c r="B72" s="136"/>
    </row>
    <row r="73" spans="2:4" ht="20.399999999999999" customHeight="1" x14ac:dyDescent="0.3">
      <c r="B73" s="136"/>
    </row>
    <row r="74" spans="2:4" ht="20.399999999999999" customHeight="1" x14ac:dyDescent="0.3">
      <c r="B74" s="136"/>
    </row>
    <row r="75" spans="2:4" ht="20.399999999999999" customHeight="1" x14ac:dyDescent="0.3">
      <c r="B75" s="136"/>
    </row>
    <row r="76" spans="2:4" ht="20.399999999999999" customHeight="1" x14ac:dyDescent="0.3">
      <c r="B76" s="136"/>
    </row>
    <row r="77" spans="2:4" ht="20.399999999999999" customHeight="1" x14ac:dyDescent="0.3">
      <c r="B77" s="136"/>
    </row>
    <row r="78" spans="2:4" ht="20.399999999999999" customHeight="1" x14ac:dyDescent="0.3">
      <c r="B78" s="136"/>
    </row>
    <row r="79" spans="2:4" ht="20.399999999999999" customHeight="1" x14ac:dyDescent="0.3">
      <c r="B79" s="136"/>
    </row>
    <row r="80" spans="2:4" ht="20.399999999999999" customHeight="1" x14ac:dyDescent="0.3">
      <c r="B80" s="136"/>
    </row>
    <row r="81" spans="2:2" ht="20.399999999999999" customHeight="1" x14ac:dyDescent="0.3">
      <c r="B81" s="136"/>
    </row>
    <row r="82" spans="2:2" ht="20.399999999999999" customHeight="1" x14ac:dyDescent="0.3">
      <c r="B82" s="136"/>
    </row>
    <row r="83" spans="2:2" ht="20.399999999999999" customHeight="1" x14ac:dyDescent="0.3">
      <c r="B83" s="136"/>
    </row>
    <row r="84" spans="2:2" ht="20.399999999999999" customHeight="1" x14ac:dyDescent="0.3">
      <c r="B84" s="136"/>
    </row>
    <row r="85" spans="2:2" ht="20.399999999999999" customHeight="1" x14ac:dyDescent="0.3">
      <c r="B85" s="136"/>
    </row>
    <row r="86" spans="2:2" ht="20.399999999999999" customHeight="1" x14ac:dyDescent="0.3">
      <c r="B86" s="136"/>
    </row>
    <row r="87" spans="2:2" ht="20.399999999999999" customHeight="1" x14ac:dyDescent="0.3">
      <c r="B87" s="136"/>
    </row>
    <row r="88" spans="2:2" ht="20.399999999999999" customHeight="1" x14ac:dyDescent="0.3">
      <c r="B88" s="136"/>
    </row>
    <row r="89" spans="2:2" ht="20.399999999999999" customHeight="1" x14ac:dyDescent="0.3">
      <c r="B89" s="136"/>
    </row>
    <row r="90" spans="2:2" ht="20.399999999999999" customHeight="1" x14ac:dyDescent="0.3">
      <c r="B90" s="136"/>
    </row>
    <row r="91" spans="2:2" ht="20.399999999999999" customHeight="1" x14ac:dyDescent="0.3">
      <c r="B91" s="136"/>
    </row>
    <row r="92" spans="2:2" ht="20.399999999999999" customHeight="1" x14ac:dyDescent="0.3">
      <c r="B92" s="136"/>
    </row>
    <row r="93" spans="2:2" ht="20.399999999999999" customHeight="1" x14ac:dyDescent="0.3">
      <c r="B93" s="136"/>
    </row>
  </sheetData>
  <mergeCells count="1">
    <mergeCell ref="A1:J1"/>
  </mergeCells>
  <phoneticPr fontId="20" type="noConversion"/>
  <conditionalFormatting sqref="B1:B1048576">
    <cfRule type="duplicateValues" dxfId="202" priority="1"/>
    <cfRule type="duplicateValues" dxfId="201" priority="2"/>
    <cfRule type="duplicateValues" dxfId="200" priority="3"/>
    <cfRule type="duplicateValues" dxfId="199" priority="4"/>
    <cfRule type="duplicateValues" dxfId="198" priority="7"/>
    <cfRule type="duplicateValues" dxfId="197" priority="8"/>
  </conditionalFormatting>
  <conditionalFormatting sqref="B5:B56">
    <cfRule type="duplicateValues" dxfId="196" priority="8713"/>
    <cfRule type="duplicateValues" dxfId="195" priority="8714"/>
  </conditionalFormatting>
  <conditionalFormatting sqref="B57">
    <cfRule type="duplicateValues" dxfId="194" priority="2655"/>
  </conditionalFormatting>
  <conditionalFormatting sqref="B59">
    <cfRule type="duplicateValues" dxfId="193" priority="9"/>
    <cfRule type="duplicateValues" dxfId="192" priority="10"/>
  </conditionalFormatting>
  <conditionalFormatting sqref="B60:B1048576 B1:B58">
    <cfRule type="duplicateValues" dxfId="191" priority="13"/>
    <cfRule type="duplicateValues" dxfId="190" priority="14"/>
  </conditionalFormatting>
  <conditionalFormatting sqref="B79:B1048576 B1:B58">
    <cfRule type="duplicateValues" dxfId="189" priority="16"/>
  </conditionalFormatting>
  <conditionalFormatting sqref="B79:B1048576">
    <cfRule type="duplicateValues" dxfId="188" priority="15"/>
  </conditionalFormatting>
  <conditionalFormatting sqref="B82:B1048576 B1:B58">
    <cfRule type="duplicateValues" dxfId="187" priority="17"/>
  </conditionalFormatting>
  <conditionalFormatting sqref="B83:B1048576 B1:B58">
    <cfRule type="duplicateValues" dxfId="186" priority="18"/>
  </conditionalFormatting>
  <conditionalFormatting sqref="B84:B1048576 B1:B58">
    <cfRule type="duplicateValues" dxfId="185" priority="19"/>
    <cfRule type="duplicateValues" dxfId="184" priority="20"/>
  </conditionalFormatting>
  <conditionalFormatting sqref="B89:B1048576 B1:B58">
    <cfRule type="duplicateValues" dxfId="183" priority="22"/>
    <cfRule type="duplicateValues" dxfId="182" priority="23"/>
    <cfRule type="duplicateValues" dxfId="181" priority="24"/>
  </conditionalFormatting>
  <conditionalFormatting sqref="B89:B1048576">
    <cfRule type="duplicateValues" dxfId="180" priority="21"/>
  </conditionalFormatting>
  <conditionalFormatting sqref="B90:B1048576 B1:B57">
    <cfRule type="duplicateValues" dxfId="179" priority="25"/>
    <cfRule type="duplicateValues" dxfId="178" priority="27"/>
    <cfRule type="duplicateValues" dxfId="177" priority="28"/>
  </conditionalFormatting>
  <conditionalFormatting sqref="B90:B1048576 B2:B57">
    <cfRule type="duplicateValues" dxfId="176" priority="30"/>
    <cfRule type="duplicateValues" dxfId="175" priority="4198"/>
  </conditionalFormatting>
  <conditionalFormatting sqref="B90:B1048576 B57 B2:B4">
    <cfRule type="duplicateValues" dxfId="174" priority="4204"/>
    <cfRule type="duplicateValues" dxfId="173" priority="4208"/>
    <cfRule type="duplicateValues" dxfId="172" priority="4209"/>
    <cfRule type="duplicateValues" dxfId="171" priority="4210"/>
    <cfRule type="duplicateValues" dxfId="170" priority="4211"/>
  </conditionalFormatting>
  <conditionalFormatting sqref="B90:B1048576 B57">
    <cfRule type="duplicateValues" dxfId="169" priority="4224"/>
  </conditionalFormatting>
  <conditionalFormatting sqref="B90:B1048576">
    <cfRule type="duplicateValues" dxfId="168" priority="26"/>
    <cfRule type="duplicateValues" dxfId="167" priority="29"/>
    <cfRule type="duplicateValues" dxfId="166" priority="4201"/>
    <cfRule type="duplicateValues" dxfId="165" priority="4227"/>
  </conditionalFormatting>
  <conditionalFormatting sqref="D69">
    <cfRule type="duplicateValues" dxfId="164" priority="11"/>
    <cfRule type="duplicateValues" dxfId="163" priority="12"/>
  </conditionalFormatting>
  <conditionalFormatting sqref="B57 B2:B4">
    <cfRule type="duplicateValues" dxfId="162" priority="8733"/>
    <cfRule type="duplicateValues" dxfId="161" priority="8734"/>
  </conditionalFormatting>
  <conditionalFormatting sqref="B57">
    <cfRule type="duplicateValues" dxfId="160" priority="8737"/>
    <cfRule type="duplicateValues" dxfId="159" priority="8738"/>
  </conditionalFormatting>
  <printOptions horizontalCentered="1"/>
  <pageMargins left="0" right="0" top="0.5" bottom="0" header="0" footer="0"/>
  <pageSetup scale="55" fitToHeight="2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3548-8B88-40EE-B30B-CED25281F0DE}">
  <dimension ref="A1:M54"/>
  <sheetViews>
    <sheetView view="pageBreakPreview" topLeftCell="A41" zoomScale="87" zoomScaleNormal="94" zoomScaleSheetLayoutView="105" workbookViewId="0">
      <selection activeCell="A54" sqref="A54:XFD54"/>
    </sheetView>
  </sheetViews>
  <sheetFormatPr defaultColWidth="18.6640625" defaultRowHeight="14.4" x14ac:dyDescent="0.3"/>
  <cols>
    <col min="1" max="1" width="5.6640625" customWidth="1"/>
    <col min="2" max="2" width="18.21875" customWidth="1"/>
    <col min="3" max="3" width="18.44140625" customWidth="1"/>
    <col min="4" max="4" width="11.44140625" bestFit="1" customWidth="1"/>
    <col min="5" max="5" width="12.44140625" customWidth="1"/>
    <col min="6" max="6" width="15.6640625" customWidth="1"/>
    <col min="7" max="7" width="17.44140625" customWidth="1"/>
    <col min="8" max="8" width="21.5546875" customWidth="1"/>
    <col min="9" max="9" width="20.88671875" customWidth="1"/>
  </cols>
  <sheetData>
    <row r="1" spans="1:13" ht="45" customHeight="1" thickBot="1" x14ac:dyDescent="0.35">
      <c r="A1" s="270" t="s">
        <v>55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</row>
    <row r="2" spans="1:13" ht="7.8" customHeight="1" x14ac:dyDescent="0.3">
      <c r="A2" s="218"/>
      <c r="B2" s="218"/>
      <c r="C2" s="218"/>
      <c r="D2" s="218"/>
      <c r="E2" s="218"/>
      <c r="F2" s="218"/>
      <c r="G2" s="218"/>
      <c r="H2" s="218"/>
    </row>
    <row r="3" spans="1:13" ht="7.8" customHeight="1" x14ac:dyDescent="0.3"/>
    <row r="4" spans="1:13" ht="7.8" customHeight="1" thickBot="1" x14ac:dyDescent="0.35"/>
    <row r="5" spans="1:13" ht="25.2" customHeight="1" thickBot="1" x14ac:dyDescent="0.35">
      <c r="H5" s="277" t="s">
        <v>417</v>
      </c>
      <c r="I5" s="278"/>
      <c r="J5" s="278" t="s">
        <v>355</v>
      </c>
      <c r="K5" s="278"/>
      <c r="L5" s="278" t="s">
        <v>418</v>
      </c>
      <c r="M5" s="279"/>
    </row>
    <row r="6" spans="1:13" ht="32.4" customHeight="1" thickBot="1" x14ac:dyDescent="0.35">
      <c r="A6" s="37" t="s">
        <v>5</v>
      </c>
      <c r="B6" s="37" t="s">
        <v>11</v>
      </c>
      <c r="C6" s="37" t="s">
        <v>43</v>
      </c>
      <c r="D6" s="37" t="s">
        <v>13</v>
      </c>
      <c r="E6" s="37" t="s">
        <v>47</v>
      </c>
      <c r="F6" s="37" t="s">
        <v>48</v>
      </c>
      <c r="G6" s="37" t="s">
        <v>49</v>
      </c>
      <c r="H6" s="97" t="s">
        <v>204</v>
      </c>
      <c r="I6" s="97" t="s">
        <v>98</v>
      </c>
      <c r="J6" s="97" t="s">
        <v>419</v>
      </c>
      <c r="K6" s="97" t="s">
        <v>190</v>
      </c>
      <c r="L6" s="97" t="s">
        <v>420</v>
      </c>
      <c r="M6" s="97" t="s">
        <v>416</v>
      </c>
    </row>
    <row r="7" spans="1:13" ht="15.6" thickTop="1" thickBot="1" x14ac:dyDescent="0.35">
      <c r="A7" s="110">
        <f t="shared" ref="A7:A52" si="0">ROW()-6</f>
        <v>1</v>
      </c>
      <c r="B7" s="110" t="s">
        <v>313</v>
      </c>
      <c r="C7" s="110" t="s">
        <v>314</v>
      </c>
      <c r="D7" s="110" t="s">
        <v>117</v>
      </c>
      <c r="E7" s="110">
        <v>497.76</v>
      </c>
      <c r="F7" s="110">
        <v>0</v>
      </c>
      <c r="G7" s="110">
        <v>5</v>
      </c>
      <c r="H7" s="226">
        <v>128051248.8</v>
      </c>
      <c r="I7" s="114">
        <v>12805124.880000001</v>
      </c>
      <c r="J7" s="153">
        <v>105002024.02</v>
      </c>
      <c r="K7" s="153">
        <v>10500202.4</v>
      </c>
      <c r="L7" s="153">
        <v>98911906.620000005</v>
      </c>
      <c r="M7" s="153">
        <v>9891190.6600000001</v>
      </c>
    </row>
    <row r="8" spans="1:13" ht="15.6" thickTop="1" thickBot="1" x14ac:dyDescent="0.35">
      <c r="A8" s="110">
        <f t="shared" si="0"/>
        <v>2</v>
      </c>
      <c r="B8" s="110" t="s">
        <v>315</v>
      </c>
      <c r="C8" s="110" t="s">
        <v>314</v>
      </c>
      <c r="D8" s="110" t="s">
        <v>117</v>
      </c>
      <c r="E8" s="110">
        <v>528.17999999999995</v>
      </c>
      <c r="F8" s="110">
        <v>0</v>
      </c>
      <c r="G8" s="110">
        <v>5</v>
      </c>
      <c r="H8" s="114">
        <v>134813561.09999999</v>
      </c>
      <c r="I8" s="114">
        <v>13481356.109999999</v>
      </c>
      <c r="J8" s="114">
        <v>110547120.09999999</v>
      </c>
      <c r="K8" s="114">
        <v>11054712.01</v>
      </c>
      <c r="L8" s="114">
        <v>104135387.14</v>
      </c>
      <c r="M8" s="114">
        <v>10413538.710000001</v>
      </c>
    </row>
    <row r="9" spans="1:13" ht="15.6" thickTop="1" thickBot="1" x14ac:dyDescent="0.35">
      <c r="A9" s="110">
        <f t="shared" si="0"/>
        <v>3</v>
      </c>
      <c r="B9" s="110" t="s">
        <v>316</v>
      </c>
      <c r="C9" s="110" t="s">
        <v>314</v>
      </c>
      <c r="D9" s="110" t="s">
        <v>117</v>
      </c>
      <c r="E9" s="110">
        <v>500.16</v>
      </c>
      <c r="F9" s="110">
        <v>0</v>
      </c>
      <c r="G9" s="110">
        <v>5</v>
      </c>
      <c r="H9" s="114">
        <v>116661716.90000001</v>
      </c>
      <c r="I9" s="114">
        <v>11666171.689999999</v>
      </c>
      <c r="J9" s="114">
        <v>95662607.859999999</v>
      </c>
      <c r="K9" s="114">
        <v>9566260.7899999991</v>
      </c>
      <c r="L9" s="114">
        <v>90114176.599999994</v>
      </c>
      <c r="M9" s="114">
        <v>9011417.6600000001</v>
      </c>
    </row>
    <row r="10" spans="1:13" ht="15.6" thickTop="1" thickBot="1" x14ac:dyDescent="0.35">
      <c r="A10" s="110">
        <f t="shared" si="0"/>
        <v>4</v>
      </c>
      <c r="B10" s="110" t="s">
        <v>317</v>
      </c>
      <c r="C10" s="110" t="s">
        <v>314</v>
      </c>
      <c r="D10" s="110" t="s">
        <v>117</v>
      </c>
      <c r="E10" s="110">
        <v>447.8</v>
      </c>
      <c r="F10" s="110">
        <v>0</v>
      </c>
      <c r="G10" s="110">
        <v>4</v>
      </c>
      <c r="H10" s="114">
        <v>104448810.09999999</v>
      </c>
      <c r="I10" s="114">
        <v>10444881.01</v>
      </c>
      <c r="J10" s="114">
        <v>85648024.280000001</v>
      </c>
      <c r="K10" s="114">
        <v>8564802.4299999997</v>
      </c>
      <c r="L10" s="114">
        <v>80680438.870000005</v>
      </c>
      <c r="M10" s="114">
        <v>8068043.8899999997</v>
      </c>
    </row>
    <row r="11" spans="1:13" ht="15.6" thickTop="1" thickBot="1" x14ac:dyDescent="0.35">
      <c r="A11" s="110">
        <f t="shared" si="0"/>
        <v>5</v>
      </c>
      <c r="B11" s="110" t="s">
        <v>318</v>
      </c>
      <c r="C11" s="110" t="s">
        <v>314</v>
      </c>
      <c r="D11" s="110" t="s">
        <v>135</v>
      </c>
      <c r="E11" s="110">
        <v>497.76</v>
      </c>
      <c r="F11" s="110">
        <v>0</v>
      </c>
      <c r="G11" s="110">
        <v>5</v>
      </c>
      <c r="H11" s="114">
        <v>128051248.8</v>
      </c>
      <c r="I11" s="114">
        <v>12805124.880000001</v>
      </c>
      <c r="J11" s="114">
        <v>105002024.02</v>
      </c>
      <c r="K11" s="114">
        <v>10500202.4</v>
      </c>
      <c r="L11" s="114">
        <v>98911906.620000005</v>
      </c>
      <c r="M11" s="114">
        <v>9891190.6600000001</v>
      </c>
    </row>
    <row r="12" spans="1:13" ht="15.6" thickTop="1" thickBot="1" x14ac:dyDescent="0.35">
      <c r="A12" s="110">
        <f t="shared" si="0"/>
        <v>6</v>
      </c>
      <c r="B12" s="110" t="s">
        <v>319</v>
      </c>
      <c r="C12" s="110" t="s">
        <v>314</v>
      </c>
      <c r="D12" s="110" t="s">
        <v>135</v>
      </c>
      <c r="E12" s="110">
        <v>500.16</v>
      </c>
      <c r="F12" s="110">
        <v>0</v>
      </c>
      <c r="G12" s="110">
        <v>5</v>
      </c>
      <c r="H12" s="114">
        <v>116661716.90000001</v>
      </c>
      <c r="I12" s="114">
        <v>11666171.689999999</v>
      </c>
      <c r="J12" s="114">
        <v>95662607.859999999</v>
      </c>
      <c r="K12" s="114">
        <v>9566260.7899999991</v>
      </c>
      <c r="L12" s="114">
        <v>90114176.599999994</v>
      </c>
      <c r="M12" s="114">
        <v>9011417.6600000001</v>
      </c>
    </row>
    <row r="13" spans="1:13" ht="15.6" thickTop="1" thickBot="1" x14ac:dyDescent="0.35">
      <c r="A13" s="110">
        <f t="shared" si="0"/>
        <v>7</v>
      </c>
      <c r="B13" s="110" t="s">
        <v>320</v>
      </c>
      <c r="C13" s="110" t="s">
        <v>314</v>
      </c>
      <c r="D13" s="110" t="s">
        <v>135</v>
      </c>
      <c r="E13" s="110">
        <v>447.8</v>
      </c>
      <c r="F13" s="110">
        <v>0</v>
      </c>
      <c r="G13" s="110">
        <v>4</v>
      </c>
      <c r="H13" s="114">
        <v>104448810.09999999</v>
      </c>
      <c r="I13" s="114">
        <v>10444881.01</v>
      </c>
      <c r="J13" s="114">
        <v>85648024.280000001</v>
      </c>
      <c r="K13" s="114">
        <v>8564802.4299999997</v>
      </c>
      <c r="L13" s="114">
        <v>80680438.870000005</v>
      </c>
      <c r="M13" s="114">
        <v>8068043.8899999997</v>
      </c>
    </row>
    <row r="14" spans="1:13" ht="15.6" thickTop="1" thickBot="1" x14ac:dyDescent="0.35">
      <c r="A14" s="110">
        <f t="shared" si="0"/>
        <v>8</v>
      </c>
      <c r="B14" s="110" t="s">
        <v>321</v>
      </c>
      <c r="C14" s="110" t="s">
        <v>314</v>
      </c>
      <c r="D14" s="110" t="s">
        <v>136</v>
      </c>
      <c r="E14" s="110">
        <v>497.76</v>
      </c>
      <c r="F14" s="110">
        <v>0</v>
      </c>
      <c r="G14" s="110">
        <v>5</v>
      </c>
      <c r="H14" s="114">
        <v>128051248.8</v>
      </c>
      <c r="I14" s="114">
        <v>12805124.880000001</v>
      </c>
      <c r="J14" s="114">
        <v>105002024.02</v>
      </c>
      <c r="K14" s="114">
        <v>10500202.4</v>
      </c>
      <c r="L14" s="114">
        <v>98911906.620000005</v>
      </c>
      <c r="M14" s="114">
        <v>9891190.6600000001</v>
      </c>
    </row>
    <row r="15" spans="1:13" ht="15.6" thickTop="1" thickBot="1" x14ac:dyDescent="0.35">
      <c r="A15" s="110">
        <f t="shared" si="0"/>
        <v>9</v>
      </c>
      <c r="B15" s="110" t="s">
        <v>322</v>
      </c>
      <c r="C15" s="110" t="s">
        <v>314</v>
      </c>
      <c r="D15" s="110" t="s">
        <v>136</v>
      </c>
      <c r="E15" s="110">
        <v>528.17999999999995</v>
      </c>
      <c r="F15" s="110">
        <v>0</v>
      </c>
      <c r="G15" s="110">
        <v>5</v>
      </c>
      <c r="H15" s="114">
        <v>134813561.09999999</v>
      </c>
      <c r="I15" s="114">
        <v>13481356.109999999</v>
      </c>
      <c r="J15" s="114">
        <v>110547120.09999999</v>
      </c>
      <c r="K15" s="114">
        <v>11054712.01</v>
      </c>
      <c r="L15" s="114">
        <v>104135387.14</v>
      </c>
      <c r="M15" s="114">
        <v>10413538.710000001</v>
      </c>
    </row>
    <row r="16" spans="1:13" ht="15.6" thickTop="1" thickBot="1" x14ac:dyDescent="0.35">
      <c r="A16" s="110">
        <f t="shared" si="0"/>
        <v>10</v>
      </c>
      <c r="B16" s="110" t="s">
        <v>323</v>
      </c>
      <c r="C16" s="113" t="s">
        <v>314</v>
      </c>
      <c r="D16" s="113" t="s">
        <v>136</v>
      </c>
      <c r="E16" s="113">
        <v>447.8</v>
      </c>
      <c r="F16" s="113">
        <v>0</v>
      </c>
      <c r="G16" s="113">
        <v>4</v>
      </c>
      <c r="H16" s="153">
        <v>104448810.09999999</v>
      </c>
      <c r="I16" s="153">
        <v>10444881.01</v>
      </c>
      <c r="J16" s="114">
        <v>85648024.280000001</v>
      </c>
      <c r="K16" s="114">
        <v>8564802.4299999997</v>
      </c>
      <c r="L16" s="114">
        <v>80680438.870000005</v>
      </c>
      <c r="M16" s="114">
        <v>8068043.8899999997</v>
      </c>
    </row>
    <row r="17" spans="1:13" ht="15.6" thickTop="1" thickBot="1" x14ac:dyDescent="0.35">
      <c r="A17" s="110">
        <f t="shared" si="0"/>
        <v>11</v>
      </c>
      <c r="B17" s="110" t="s">
        <v>408</v>
      </c>
      <c r="C17" s="113" t="s">
        <v>314</v>
      </c>
      <c r="D17" s="113" t="s">
        <v>137</v>
      </c>
      <c r="E17" s="113">
        <v>176.83</v>
      </c>
      <c r="F17" s="113">
        <v>0</v>
      </c>
      <c r="G17" s="113">
        <v>2</v>
      </c>
      <c r="H17" s="153">
        <v>43449267.109999999</v>
      </c>
      <c r="I17" s="153">
        <v>4344926.71</v>
      </c>
      <c r="J17" s="114">
        <v>35628399.030000001</v>
      </c>
      <c r="K17" s="114">
        <v>3562839.9</v>
      </c>
      <c r="L17" s="114">
        <v>33561951.890000001</v>
      </c>
      <c r="M17" s="114">
        <v>3356195.19</v>
      </c>
    </row>
    <row r="18" spans="1:13" ht="15.6" thickTop="1" thickBot="1" x14ac:dyDescent="0.35">
      <c r="A18" s="110">
        <f t="shared" si="0"/>
        <v>12</v>
      </c>
      <c r="B18" s="110" t="s">
        <v>421</v>
      </c>
      <c r="C18" s="113" t="s">
        <v>324</v>
      </c>
      <c r="D18" s="113" t="s">
        <v>117</v>
      </c>
      <c r="E18" s="113">
        <v>219.15</v>
      </c>
      <c r="F18" s="113">
        <v>0</v>
      </c>
      <c r="G18" s="113">
        <v>2</v>
      </c>
      <c r="H18" s="153">
        <v>56377433.25</v>
      </c>
      <c r="I18" s="153">
        <v>5637743.3300000001</v>
      </c>
      <c r="J18" s="114">
        <v>46229495.270000003</v>
      </c>
      <c r="K18" s="114">
        <v>4622949.53</v>
      </c>
      <c r="L18" s="114">
        <v>43548184.539999999</v>
      </c>
      <c r="M18" s="114">
        <v>4354818.45</v>
      </c>
    </row>
    <row r="19" spans="1:13" ht="15.6" thickTop="1" thickBot="1" x14ac:dyDescent="0.35">
      <c r="A19" s="110">
        <f t="shared" si="0"/>
        <v>13</v>
      </c>
      <c r="B19" s="110" t="s">
        <v>325</v>
      </c>
      <c r="C19" s="113" t="s">
        <v>324</v>
      </c>
      <c r="D19" s="113" t="s">
        <v>117</v>
      </c>
      <c r="E19" s="113">
        <v>201.11</v>
      </c>
      <c r="F19" s="113">
        <v>0</v>
      </c>
      <c r="G19" s="113">
        <v>2</v>
      </c>
      <c r="H19" s="153">
        <v>51331658.289999999</v>
      </c>
      <c r="I19" s="153">
        <v>5133165.83</v>
      </c>
      <c r="J19" s="114">
        <v>42091959.799999997</v>
      </c>
      <c r="K19" s="114">
        <v>4209195.9800000004</v>
      </c>
      <c r="L19" s="114">
        <v>39650626.130000003</v>
      </c>
      <c r="M19" s="114">
        <v>3965062.61</v>
      </c>
    </row>
    <row r="20" spans="1:13" ht="15.6" thickTop="1" thickBot="1" x14ac:dyDescent="0.35">
      <c r="A20" s="110">
        <f t="shared" si="0"/>
        <v>14</v>
      </c>
      <c r="B20" s="110" t="s">
        <v>326</v>
      </c>
      <c r="C20" s="113" t="s">
        <v>324</v>
      </c>
      <c r="D20" s="113" t="s">
        <v>117</v>
      </c>
      <c r="E20" s="113">
        <v>180.22</v>
      </c>
      <c r="F20" s="113">
        <v>0</v>
      </c>
      <c r="G20" s="113">
        <v>2</v>
      </c>
      <c r="H20" s="153">
        <v>42036097.710000001</v>
      </c>
      <c r="I20" s="153">
        <v>4203609.7699999996</v>
      </c>
      <c r="J20" s="114">
        <v>34469600.119999997</v>
      </c>
      <c r="K20" s="114">
        <v>3446960.01</v>
      </c>
      <c r="L20" s="114">
        <v>32470363.32</v>
      </c>
      <c r="M20" s="114">
        <v>3247036.33</v>
      </c>
    </row>
    <row r="21" spans="1:13" ht="15.6" thickTop="1" thickBot="1" x14ac:dyDescent="0.35">
      <c r="A21" s="110">
        <f t="shared" si="0"/>
        <v>15</v>
      </c>
      <c r="B21" s="110" t="s">
        <v>327</v>
      </c>
      <c r="C21" s="113" t="s">
        <v>324</v>
      </c>
      <c r="D21" s="113" t="s">
        <v>117</v>
      </c>
      <c r="E21" s="113">
        <v>156.47999999999999</v>
      </c>
      <c r="F21" s="113">
        <v>0</v>
      </c>
      <c r="G21" s="113">
        <v>2</v>
      </c>
      <c r="H21" s="153">
        <v>35448634.049999997</v>
      </c>
      <c r="I21" s="153">
        <v>3544863.41</v>
      </c>
      <c r="J21" s="114">
        <v>29067879.920000002</v>
      </c>
      <c r="K21" s="114">
        <v>2906787.99</v>
      </c>
      <c r="L21" s="114">
        <v>27381942.890000001</v>
      </c>
      <c r="M21" s="114">
        <v>2738194.29</v>
      </c>
    </row>
    <row r="22" spans="1:13" ht="15.6" thickTop="1" thickBot="1" x14ac:dyDescent="0.35">
      <c r="A22" s="110">
        <f t="shared" si="0"/>
        <v>16</v>
      </c>
      <c r="B22" s="110" t="s">
        <v>328</v>
      </c>
      <c r="C22" s="113" t="s">
        <v>324</v>
      </c>
      <c r="D22" s="113" t="s">
        <v>117</v>
      </c>
      <c r="E22" s="113">
        <v>274.16000000000003</v>
      </c>
      <c r="F22" s="113">
        <v>0</v>
      </c>
      <c r="G22" s="113">
        <v>3</v>
      </c>
      <c r="H22" s="153">
        <v>63947489.439999998</v>
      </c>
      <c r="I22" s="153">
        <v>6394748.9400000004</v>
      </c>
      <c r="J22" s="114">
        <v>52436941.340000004</v>
      </c>
      <c r="K22" s="114">
        <v>5243694.13</v>
      </c>
      <c r="L22" s="114">
        <v>49395598.740000002</v>
      </c>
      <c r="M22" s="114">
        <v>4939559.87</v>
      </c>
    </row>
    <row r="23" spans="1:13" ht="15.6" thickTop="1" thickBot="1" x14ac:dyDescent="0.35">
      <c r="A23" s="110">
        <f t="shared" si="0"/>
        <v>17</v>
      </c>
      <c r="B23" s="110" t="s">
        <v>329</v>
      </c>
      <c r="C23" s="113" t="s">
        <v>324</v>
      </c>
      <c r="D23" s="113" t="s">
        <v>135</v>
      </c>
      <c r="E23" s="113">
        <v>197.48</v>
      </c>
      <c r="F23" s="113">
        <v>0</v>
      </c>
      <c r="G23" s="113">
        <v>2</v>
      </c>
      <c r="H23" s="153">
        <v>48523221.560000002</v>
      </c>
      <c r="I23" s="153">
        <v>4852322.16</v>
      </c>
      <c r="J23" s="114">
        <v>39789041.68</v>
      </c>
      <c r="K23" s="114">
        <v>3978904.17</v>
      </c>
      <c r="L23" s="114">
        <v>37481277.259999998</v>
      </c>
      <c r="M23" s="114">
        <v>3748127.73</v>
      </c>
    </row>
    <row r="24" spans="1:13" ht="15.6" thickTop="1" thickBot="1" x14ac:dyDescent="0.35">
      <c r="A24" s="110">
        <f t="shared" si="0"/>
        <v>18</v>
      </c>
      <c r="B24" s="110" t="s">
        <v>330</v>
      </c>
      <c r="C24" s="113" t="s">
        <v>324</v>
      </c>
      <c r="D24" s="113" t="s">
        <v>135</v>
      </c>
      <c r="E24" s="113">
        <v>156.47999999999999</v>
      </c>
      <c r="F24" s="113">
        <v>0</v>
      </c>
      <c r="G24" s="113">
        <v>2</v>
      </c>
      <c r="H24" s="153">
        <v>35448634.049999997</v>
      </c>
      <c r="I24" s="153">
        <v>3544863.41</v>
      </c>
      <c r="J24" s="114">
        <v>29067879.920000002</v>
      </c>
      <c r="K24" s="114">
        <v>2906787.99</v>
      </c>
      <c r="L24" s="114">
        <v>27381942.890000001</v>
      </c>
      <c r="M24" s="114">
        <v>2738194.29</v>
      </c>
    </row>
    <row r="25" spans="1:13" ht="15.6" thickTop="1" thickBot="1" x14ac:dyDescent="0.35">
      <c r="A25" s="110">
        <f t="shared" si="0"/>
        <v>19</v>
      </c>
      <c r="B25" s="110" t="s">
        <v>513</v>
      </c>
      <c r="C25" s="113" t="s">
        <v>324</v>
      </c>
      <c r="D25" s="113" t="s">
        <v>117</v>
      </c>
      <c r="E25" s="113">
        <v>144.54</v>
      </c>
      <c r="F25" s="113">
        <v>0</v>
      </c>
      <c r="G25" s="113">
        <v>1</v>
      </c>
      <c r="H25" s="153">
        <v>32743772.789999999</v>
      </c>
      <c r="I25" s="153">
        <v>3274377.28</v>
      </c>
      <c r="J25" s="114">
        <v>26849893.690000001</v>
      </c>
      <c r="K25" s="114">
        <v>2684989.37</v>
      </c>
      <c r="L25" s="114">
        <v>25292599.850000001</v>
      </c>
      <c r="M25" s="114">
        <v>2529259.9900000002</v>
      </c>
    </row>
    <row r="26" spans="1:13" ht="15.6" thickTop="1" thickBot="1" x14ac:dyDescent="0.35">
      <c r="A26" s="110">
        <f t="shared" si="0"/>
        <v>20</v>
      </c>
      <c r="B26" s="110" t="s">
        <v>331</v>
      </c>
      <c r="C26" s="113" t="s">
        <v>324</v>
      </c>
      <c r="D26" s="113" t="s">
        <v>135</v>
      </c>
      <c r="E26" s="113">
        <v>274.16000000000003</v>
      </c>
      <c r="F26" s="113">
        <v>0</v>
      </c>
      <c r="G26" s="113">
        <v>3</v>
      </c>
      <c r="H26" s="153">
        <v>63947489.439999998</v>
      </c>
      <c r="I26" s="153">
        <v>6394748.9400000004</v>
      </c>
      <c r="J26" s="114">
        <v>52436941.340000004</v>
      </c>
      <c r="K26" s="114">
        <v>5243694.13</v>
      </c>
      <c r="L26" s="114">
        <v>49395598.740000002</v>
      </c>
      <c r="M26" s="114">
        <v>4939559.87</v>
      </c>
    </row>
    <row r="27" spans="1:13" ht="15.6" thickTop="1" thickBot="1" x14ac:dyDescent="0.35">
      <c r="A27" s="110">
        <f t="shared" si="0"/>
        <v>21</v>
      </c>
      <c r="B27" s="110" t="s">
        <v>332</v>
      </c>
      <c r="C27" s="113" t="s">
        <v>324</v>
      </c>
      <c r="D27" s="113" t="s">
        <v>136</v>
      </c>
      <c r="E27" s="113">
        <v>180.22</v>
      </c>
      <c r="F27" s="113">
        <v>0</v>
      </c>
      <c r="G27" s="113">
        <v>2</v>
      </c>
      <c r="H27" s="153">
        <v>42036097.710000001</v>
      </c>
      <c r="I27" s="153">
        <v>4203609.7699999996</v>
      </c>
      <c r="J27" s="114">
        <v>34469600.119999997</v>
      </c>
      <c r="K27" s="114">
        <v>3446960.01</v>
      </c>
      <c r="L27" s="114">
        <v>32470363.32</v>
      </c>
      <c r="M27" s="114">
        <v>3247036.33</v>
      </c>
    </row>
    <row r="28" spans="1:13" ht="15.6" thickTop="1" thickBot="1" x14ac:dyDescent="0.35">
      <c r="A28" s="110">
        <f t="shared" si="0"/>
        <v>22</v>
      </c>
      <c r="B28" s="110" t="s">
        <v>333</v>
      </c>
      <c r="C28" s="113" t="s">
        <v>324</v>
      </c>
      <c r="D28" s="113" t="s">
        <v>136</v>
      </c>
      <c r="E28" s="113">
        <v>156.47999999999999</v>
      </c>
      <c r="F28" s="113">
        <v>0</v>
      </c>
      <c r="G28" s="113">
        <v>2</v>
      </c>
      <c r="H28" s="153">
        <v>35448634.049999997</v>
      </c>
      <c r="I28" s="153">
        <v>3544863.41</v>
      </c>
      <c r="J28" s="114">
        <v>29067879.920000002</v>
      </c>
      <c r="K28" s="114">
        <v>2906787.99</v>
      </c>
      <c r="L28" s="114">
        <v>27381942.890000001</v>
      </c>
      <c r="M28" s="114">
        <v>2738194.29</v>
      </c>
    </row>
    <row r="29" spans="1:13" ht="15.6" thickTop="1" thickBot="1" x14ac:dyDescent="0.35">
      <c r="A29" s="110">
        <f t="shared" si="0"/>
        <v>23</v>
      </c>
      <c r="B29" s="110" t="s">
        <v>454</v>
      </c>
      <c r="C29" s="110" t="s">
        <v>324</v>
      </c>
      <c r="D29" s="110" t="s">
        <v>136</v>
      </c>
      <c r="E29" s="110">
        <v>134.03</v>
      </c>
      <c r="F29" s="110">
        <v>0</v>
      </c>
      <c r="G29" s="110">
        <v>1</v>
      </c>
      <c r="H29" s="153">
        <v>30362860.57</v>
      </c>
      <c r="I29" s="114">
        <v>3036286.06</v>
      </c>
      <c r="J29" s="114">
        <v>24897545.670000002</v>
      </c>
      <c r="K29" s="114">
        <v>2489754.5699999998</v>
      </c>
      <c r="L29" s="114">
        <v>23453488.02</v>
      </c>
      <c r="M29" s="114">
        <v>2345348.7999999998</v>
      </c>
    </row>
    <row r="30" spans="1:13" ht="15.6" thickTop="1" thickBot="1" x14ac:dyDescent="0.35">
      <c r="A30" s="110">
        <f t="shared" si="0"/>
        <v>24</v>
      </c>
      <c r="B30" s="110" t="s">
        <v>334</v>
      </c>
      <c r="C30" s="113" t="s">
        <v>324</v>
      </c>
      <c r="D30" s="113" t="s">
        <v>136</v>
      </c>
      <c r="E30" s="113">
        <v>274.16000000000003</v>
      </c>
      <c r="F30" s="113">
        <v>0</v>
      </c>
      <c r="G30" s="113">
        <v>3</v>
      </c>
      <c r="H30" s="153">
        <v>63947489.439999998</v>
      </c>
      <c r="I30" s="153">
        <v>6394748.9400000004</v>
      </c>
      <c r="J30" s="114">
        <v>52436941.340000004</v>
      </c>
      <c r="K30" s="114">
        <v>5243694.13</v>
      </c>
      <c r="L30" s="114">
        <v>49395598.740000002</v>
      </c>
      <c r="M30" s="114">
        <v>4939559.87</v>
      </c>
    </row>
    <row r="31" spans="1:13" ht="15.6" thickTop="1" thickBot="1" x14ac:dyDescent="0.35">
      <c r="A31" s="110">
        <f t="shared" si="0"/>
        <v>25</v>
      </c>
      <c r="B31" s="110" t="s">
        <v>335</v>
      </c>
      <c r="C31" s="113" t="s">
        <v>324</v>
      </c>
      <c r="D31" s="113" t="s">
        <v>137</v>
      </c>
      <c r="E31" s="113">
        <v>383.8</v>
      </c>
      <c r="F31" s="113">
        <v>0</v>
      </c>
      <c r="G31" s="113">
        <v>4</v>
      </c>
      <c r="H31" s="153">
        <v>98734469</v>
      </c>
      <c r="I31" s="153">
        <v>9873446.9000000004</v>
      </c>
      <c r="J31" s="114">
        <v>80962264.579999998</v>
      </c>
      <c r="K31" s="114">
        <v>8096226.46</v>
      </c>
      <c r="L31" s="114">
        <v>76266453.230000004</v>
      </c>
      <c r="M31" s="114">
        <v>7626645.3200000003</v>
      </c>
    </row>
    <row r="32" spans="1:13" ht="15.6" thickTop="1" thickBot="1" x14ac:dyDescent="0.35">
      <c r="A32" s="110">
        <f t="shared" si="0"/>
        <v>26</v>
      </c>
      <c r="B32" s="110" t="s">
        <v>336</v>
      </c>
      <c r="C32" s="113" t="s">
        <v>324</v>
      </c>
      <c r="D32" s="113" t="s">
        <v>137</v>
      </c>
      <c r="E32" s="113">
        <v>196.96</v>
      </c>
      <c r="F32" s="113">
        <v>0</v>
      </c>
      <c r="G32" s="113">
        <v>2</v>
      </c>
      <c r="H32" s="153">
        <v>48395451.280000001</v>
      </c>
      <c r="I32" s="153">
        <v>4839545.13</v>
      </c>
      <c r="J32" s="114">
        <v>39684270.049999997</v>
      </c>
      <c r="K32" s="114">
        <v>3968427</v>
      </c>
      <c r="L32" s="114">
        <v>37382582.390000001</v>
      </c>
      <c r="M32" s="114">
        <v>3738258.24</v>
      </c>
    </row>
    <row r="33" spans="1:13" ht="15.6" thickTop="1" thickBot="1" x14ac:dyDescent="0.35">
      <c r="A33" s="110">
        <f t="shared" si="0"/>
        <v>27</v>
      </c>
      <c r="B33" s="110" t="s">
        <v>337</v>
      </c>
      <c r="C33" s="113" t="s">
        <v>324</v>
      </c>
      <c r="D33" s="113" t="s">
        <v>137</v>
      </c>
      <c r="E33" s="113">
        <v>198.52</v>
      </c>
      <c r="F33" s="113">
        <v>0</v>
      </c>
      <c r="G33" s="113">
        <v>2</v>
      </c>
      <c r="H33" s="153">
        <v>50670582.280000001</v>
      </c>
      <c r="I33" s="153">
        <v>5067058.2300000004</v>
      </c>
      <c r="J33" s="114">
        <v>41549877.469999999</v>
      </c>
      <c r="K33" s="114">
        <v>4154987.75</v>
      </c>
      <c r="L33" s="114">
        <v>39139984.579999998</v>
      </c>
      <c r="M33" s="114">
        <v>3913998.46</v>
      </c>
    </row>
    <row r="34" spans="1:13" ht="15.6" thickTop="1" thickBot="1" x14ac:dyDescent="0.35">
      <c r="A34" s="110">
        <f t="shared" si="0"/>
        <v>28</v>
      </c>
      <c r="B34" s="110" t="s">
        <v>338</v>
      </c>
      <c r="C34" s="113" t="s">
        <v>324</v>
      </c>
      <c r="D34" s="113" t="s">
        <v>137</v>
      </c>
      <c r="E34" s="113">
        <v>182.82</v>
      </c>
      <c r="F34" s="113">
        <v>0</v>
      </c>
      <c r="G34" s="113">
        <v>2</v>
      </c>
      <c r="H34" s="153">
        <v>42642544.57</v>
      </c>
      <c r="I34" s="153">
        <v>4264254.46</v>
      </c>
      <c r="J34" s="114">
        <v>34966886.549999997</v>
      </c>
      <c r="K34" s="114">
        <v>3496688.65</v>
      </c>
      <c r="L34" s="114">
        <v>32938807.129999999</v>
      </c>
      <c r="M34" s="114">
        <v>3293880.71</v>
      </c>
    </row>
    <row r="35" spans="1:13" ht="15.6" thickTop="1" thickBot="1" x14ac:dyDescent="0.35">
      <c r="A35" s="110">
        <f t="shared" si="0"/>
        <v>29</v>
      </c>
      <c r="B35" s="110" t="s">
        <v>339</v>
      </c>
      <c r="C35" s="113" t="s">
        <v>324</v>
      </c>
      <c r="D35" s="113" t="s">
        <v>137</v>
      </c>
      <c r="E35" s="113">
        <v>156.74</v>
      </c>
      <c r="F35" s="113">
        <v>0</v>
      </c>
      <c r="G35" s="113">
        <v>2</v>
      </c>
      <c r="H35" s="153">
        <v>35507533.880000003</v>
      </c>
      <c r="I35" s="153">
        <v>3550753.39</v>
      </c>
      <c r="J35" s="114">
        <v>29116177.780000001</v>
      </c>
      <c r="K35" s="114">
        <v>2911617.78</v>
      </c>
      <c r="L35" s="114">
        <v>27427439.469999999</v>
      </c>
      <c r="M35" s="114">
        <v>2742743.95</v>
      </c>
    </row>
    <row r="36" spans="1:13" ht="15.6" thickTop="1" thickBot="1" x14ac:dyDescent="0.35">
      <c r="A36" s="110">
        <f t="shared" si="0"/>
        <v>30</v>
      </c>
      <c r="B36" s="110" t="s">
        <v>340</v>
      </c>
      <c r="C36" s="113" t="s">
        <v>324</v>
      </c>
      <c r="D36" s="113" t="s">
        <v>137</v>
      </c>
      <c r="E36" s="113">
        <v>134.68</v>
      </c>
      <c r="F36" s="113">
        <v>0</v>
      </c>
      <c r="G36" s="113">
        <v>1</v>
      </c>
      <c r="H36" s="153">
        <v>30510110.129999999</v>
      </c>
      <c r="I36" s="153">
        <v>3051011.01</v>
      </c>
      <c r="J36" s="114">
        <v>25018290.309999999</v>
      </c>
      <c r="K36" s="114">
        <v>2501829.0299999998</v>
      </c>
      <c r="L36" s="114">
        <v>23567229.469999999</v>
      </c>
      <c r="M36" s="114">
        <v>2356722.9500000002</v>
      </c>
    </row>
    <row r="37" spans="1:13" ht="15.6" thickTop="1" thickBot="1" x14ac:dyDescent="0.35">
      <c r="A37" s="110">
        <f t="shared" si="0"/>
        <v>31</v>
      </c>
      <c r="B37" s="110" t="s">
        <v>341</v>
      </c>
      <c r="C37" s="113" t="s">
        <v>324</v>
      </c>
      <c r="D37" s="113" t="s">
        <v>137</v>
      </c>
      <c r="E37" s="113">
        <v>144.54</v>
      </c>
      <c r="F37" s="113">
        <v>0</v>
      </c>
      <c r="G37" s="113">
        <v>1</v>
      </c>
      <c r="H37" s="153">
        <v>32743772.789999999</v>
      </c>
      <c r="I37" s="153">
        <v>3274377.28</v>
      </c>
      <c r="J37" s="114">
        <v>26849893.690000001</v>
      </c>
      <c r="K37" s="114">
        <v>2684989.37</v>
      </c>
      <c r="L37" s="114">
        <v>25292599.850000001</v>
      </c>
      <c r="M37" s="114">
        <v>2529259.9900000002</v>
      </c>
    </row>
    <row r="38" spans="1:13" ht="15.6" thickTop="1" thickBot="1" x14ac:dyDescent="0.35">
      <c r="A38" s="110">
        <f t="shared" si="0"/>
        <v>32</v>
      </c>
      <c r="B38" s="110" t="s">
        <v>342</v>
      </c>
      <c r="C38" s="113" t="s">
        <v>324</v>
      </c>
      <c r="D38" s="113" t="s">
        <v>137</v>
      </c>
      <c r="E38" s="113">
        <v>277.54000000000002</v>
      </c>
      <c r="F38" s="113">
        <v>0</v>
      </c>
      <c r="G38" s="113">
        <v>3</v>
      </c>
      <c r="H38" s="153">
        <v>70057501.620000005</v>
      </c>
      <c r="I38" s="153">
        <v>7005750.1600000001</v>
      </c>
      <c r="J38" s="114">
        <v>57447151.329999998</v>
      </c>
      <c r="K38" s="114">
        <v>5744715.1299999999</v>
      </c>
      <c r="L38" s="114">
        <v>54115216.549999997</v>
      </c>
      <c r="M38" s="114">
        <v>5411521.6600000001</v>
      </c>
    </row>
    <row r="39" spans="1:13" ht="15.6" thickTop="1" thickBot="1" x14ac:dyDescent="0.35">
      <c r="A39" s="110">
        <f t="shared" si="0"/>
        <v>33</v>
      </c>
      <c r="B39" s="110" t="s">
        <v>343</v>
      </c>
      <c r="C39" s="113" t="s">
        <v>324</v>
      </c>
      <c r="D39" s="113" t="s">
        <v>138</v>
      </c>
      <c r="E39" s="113">
        <v>254.05</v>
      </c>
      <c r="F39" s="113">
        <v>0</v>
      </c>
      <c r="G39" s="113">
        <v>3</v>
      </c>
      <c r="H39" s="153">
        <v>65355632.75</v>
      </c>
      <c r="I39" s="153">
        <v>6535563.2800000003</v>
      </c>
      <c r="J39" s="114">
        <v>53591618.859999999</v>
      </c>
      <c r="K39" s="114">
        <v>5359161.8899999997</v>
      </c>
      <c r="L39" s="114">
        <v>50483304.960000001</v>
      </c>
      <c r="M39" s="114">
        <v>5048330.5</v>
      </c>
    </row>
    <row r="40" spans="1:13" ht="15.6" thickTop="1" thickBot="1" x14ac:dyDescent="0.35">
      <c r="A40" s="110">
        <f t="shared" si="0"/>
        <v>34</v>
      </c>
      <c r="B40" s="110" t="s">
        <v>344</v>
      </c>
      <c r="C40" s="113" t="s">
        <v>324</v>
      </c>
      <c r="D40" s="113" t="s">
        <v>138</v>
      </c>
      <c r="E40" s="113">
        <v>166.73</v>
      </c>
      <c r="F40" s="113">
        <v>0</v>
      </c>
      <c r="G40" s="113">
        <v>2</v>
      </c>
      <c r="H40" s="153">
        <v>40967575.100000001</v>
      </c>
      <c r="I40" s="153">
        <v>4096757.51</v>
      </c>
      <c r="J40" s="114">
        <v>33593411.579999998</v>
      </c>
      <c r="K40" s="114">
        <v>3359341.16</v>
      </c>
      <c r="L40" s="114">
        <v>31644993.710000001</v>
      </c>
      <c r="M40" s="114">
        <v>3164499.37</v>
      </c>
    </row>
    <row r="41" spans="1:13" ht="15.6" thickTop="1" thickBot="1" x14ac:dyDescent="0.35">
      <c r="A41" s="110">
        <f t="shared" si="0"/>
        <v>35</v>
      </c>
      <c r="B41" s="110" t="s">
        <v>345</v>
      </c>
      <c r="C41" s="113" t="s">
        <v>324</v>
      </c>
      <c r="D41" s="113" t="s">
        <v>138</v>
      </c>
      <c r="E41" s="113">
        <v>196.96</v>
      </c>
      <c r="F41" s="113">
        <v>0</v>
      </c>
      <c r="G41" s="113">
        <v>2</v>
      </c>
      <c r="H41" s="153">
        <v>48395451.280000001</v>
      </c>
      <c r="I41" s="153">
        <v>4839545.13</v>
      </c>
      <c r="J41" s="114">
        <v>39684270.049999997</v>
      </c>
      <c r="K41" s="114">
        <v>3968427</v>
      </c>
      <c r="L41" s="114">
        <v>37382582.390000001</v>
      </c>
      <c r="M41" s="114">
        <v>3738258.24</v>
      </c>
    </row>
    <row r="42" spans="1:13" ht="15.6" thickTop="1" thickBot="1" x14ac:dyDescent="0.35">
      <c r="A42" s="110">
        <f t="shared" si="0"/>
        <v>36</v>
      </c>
      <c r="B42" s="110" t="s">
        <v>346</v>
      </c>
      <c r="C42" s="113" t="s">
        <v>324</v>
      </c>
      <c r="D42" s="113" t="s">
        <v>138</v>
      </c>
      <c r="E42" s="113">
        <v>149.47</v>
      </c>
      <c r="F42" s="113">
        <v>0</v>
      </c>
      <c r="G42" s="113">
        <v>2</v>
      </c>
      <c r="H42" s="153">
        <v>34863697.280000001</v>
      </c>
      <c r="I42" s="153">
        <v>3486369.73</v>
      </c>
      <c r="J42" s="114">
        <v>28588231.77</v>
      </c>
      <c r="K42" s="114">
        <v>2858823.18</v>
      </c>
      <c r="L42" s="114">
        <v>26930114.329999998</v>
      </c>
      <c r="M42" s="114">
        <v>2693011.43</v>
      </c>
    </row>
    <row r="43" spans="1:13" ht="15.6" thickTop="1" thickBot="1" x14ac:dyDescent="0.35">
      <c r="A43" s="110">
        <f t="shared" si="0"/>
        <v>37</v>
      </c>
      <c r="B43" s="110" t="s">
        <v>347</v>
      </c>
      <c r="C43" s="113" t="s">
        <v>324</v>
      </c>
      <c r="D43" s="113" t="s">
        <v>138</v>
      </c>
      <c r="E43" s="113">
        <v>141.94999999999999</v>
      </c>
      <c r="F43" s="113">
        <v>0</v>
      </c>
      <c r="G43" s="113">
        <v>1</v>
      </c>
      <c r="H43" s="153">
        <v>32157039.899999999</v>
      </c>
      <c r="I43" s="153">
        <v>3215703.99</v>
      </c>
      <c r="J43" s="114">
        <v>26368772.719999999</v>
      </c>
      <c r="K43" s="114">
        <v>2636877.27</v>
      </c>
      <c r="L43" s="114">
        <v>24839383.899999999</v>
      </c>
      <c r="M43" s="114">
        <v>2483938.39</v>
      </c>
    </row>
    <row r="44" spans="1:13" ht="15.6" thickTop="1" thickBot="1" x14ac:dyDescent="0.35">
      <c r="A44" s="110">
        <f t="shared" si="0"/>
        <v>38</v>
      </c>
      <c r="B44" s="110" t="s">
        <v>348</v>
      </c>
      <c r="C44" s="113" t="s">
        <v>324</v>
      </c>
      <c r="D44" s="113" t="s">
        <v>138</v>
      </c>
      <c r="E44" s="113">
        <v>134.68</v>
      </c>
      <c r="F44" s="113">
        <v>0</v>
      </c>
      <c r="G44" s="113">
        <v>1</v>
      </c>
      <c r="H44" s="153">
        <v>30510110.129999999</v>
      </c>
      <c r="I44" s="153">
        <v>3051011.01</v>
      </c>
      <c r="J44" s="114">
        <v>25018290.309999999</v>
      </c>
      <c r="K44" s="114">
        <v>2501829.0299999998</v>
      </c>
      <c r="L44" s="114">
        <v>23567229.469999999</v>
      </c>
      <c r="M44" s="114">
        <v>2356722.9500000002</v>
      </c>
    </row>
    <row r="45" spans="1:13" ht="15.6" thickTop="1" thickBot="1" x14ac:dyDescent="0.35">
      <c r="A45" s="110">
        <f t="shared" si="0"/>
        <v>39</v>
      </c>
      <c r="B45" s="110" t="s">
        <v>349</v>
      </c>
      <c r="C45" s="113" t="s">
        <v>324</v>
      </c>
      <c r="D45" s="113" t="s">
        <v>138</v>
      </c>
      <c r="E45" s="113">
        <v>144.54</v>
      </c>
      <c r="F45" s="113">
        <v>0</v>
      </c>
      <c r="G45" s="113">
        <v>1</v>
      </c>
      <c r="H45" s="153">
        <v>32743772.789999999</v>
      </c>
      <c r="I45" s="153">
        <v>3274377.28</v>
      </c>
      <c r="J45" s="114">
        <v>26849893.690000001</v>
      </c>
      <c r="K45" s="114">
        <v>2684989.37</v>
      </c>
      <c r="L45" s="114">
        <v>25292599.850000001</v>
      </c>
      <c r="M45" s="114">
        <v>2529259.9900000002</v>
      </c>
    </row>
    <row r="46" spans="1:13" ht="15.6" thickTop="1" thickBot="1" x14ac:dyDescent="0.35">
      <c r="A46" s="110">
        <f t="shared" si="0"/>
        <v>40</v>
      </c>
      <c r="B46" s="110" t="s">
        <v>350</v>
      </c>
      <c r="C46" s="113" t="s">
        <v>324</v>
      </c>
      <c r="D46" s="113" t="s">
        <v>138</v>
      </c>
      <c r="E46" s="113">
        <v>277.54000000000002</v>
      </c>
      <c r="F46" s="113">
        <v>0</v>
      </c>
      <c r="G46" s="113">
        <v>3</v>
      </c>
      <c r="H46" s="153">
        <v>70057501.620000005</v>
      </c>
      <c r="I46" s="153">
        <v>7005750.1600000001</v>
      </c>
      <c r="J46" s="114">
        <v>57447151.329999998</v>
      </c>
      <c r="K46" s="114">
        <v>5744715.1299999999</v>
      </c>
      <c r="L46" s="114">
        <v>54115216.549999997</v>
      </c>
      <c r="M46" s="114">
        <v>5411521.6600000001</v>
      </c>
    </row>
    <row r="47" spans="1:13" ht="15.6" thickTop="1" thickBot="1" x14ac:dyDescent="0.35">
      <c r="A47" s="110">
        <f>ROW()-6</f>
        <v>41</v>
      </c>
      <c r="B47" s="110" t="s">
        <v>495</v>
      </c>
      <c r="C47" s="110" t="s">
        <v>324</v>
      </c>
      <c r="D47" s="110" t="s">
        <v>136</v>
      </c>
      <c r="E47" s="110">
        <v>197.48</v>
      </c>
      <c r="F47" s="110">
        <v>0</v>
      </c>
      <c r="G47" s="110">
        <v>2</v>
      </c>
      <c r="H47" s="153">
        <v>48523221.560000002</v>
      </c>
      <c r="I47" s="114">
        <v>4852322.16</v>
      </c>
      <c r="J47" s="114">
        <v>39789041.68</v>
      </c>
      <c r="K47" s="114">
        <v>3978904.17</v>
      </c>
      <c r="L47" s="114">
        <v>37481277.259999998</v>
      </c>
      <c r="M47" s="114">
        <v>3748127.73</v>
      </c>
    </row>
    <row r="48" spans="1:13" ht="15.6" thickTop="1" thickBot="1" x14ac:dyDescent="0.35">
      <c r="A48" s="110">
        <f>ROW()-6</f>
        <v>42</v>
      </c>
      <c r="B48" s="110" t="s">
        <v>498</v>
      </c>
      <c r="C48" s="110" t="s">
        <v>324</v>
      </c>
      <c r="D48" s="110" t="s">
        <v>136</v>
      </c>
      <c r="E48" s="110">
        <v>201.11</v>
      </c>
      <c r="F48" s="110">
        <v>0</v>
      </c>
      <c r="G48" s="110">
        <v>2</v>
      </c>
      <c r="H48" s="153">
        <v>51331658.289999999</v>
      </c>
      <c r="I48" s="114">
        <v>5133165.83</v>
      </c>
      <c r="J48" s="114">
        <v>42091959.799999997</v>
      </c>
      <c r="K48" s="114">
        <v>4209195.9800000004</v>
      </c>
      <c r="L48" s="114">
        <v>39650626.130000003</v>
      </c>
      <c r="M48" s="114">
        <v>3965062.61</v>
      </c>
    </row>
    <row r="49" spans="1:13" ht="15.6" thickTop="1" thickBot="1" x14ac:dyDescent="0.35">
      <c r="A49" s="110">
        <f>ROW()-6</f>
        <v>43</v>
      </c>
      <c r="B49" s="110" t="s">
        <v>499</v>
      </c>
      <c r="C49" s="110" t="s">
        <v>324</v>
      </c>
      <c r="D49" s="110" t="s">
        <v>138</v>
      </c>
      <c r="E49" s="110">
        <v>147.27000000000001</v>
      </c>
      <c r="F49" s="110">
        <v>0</v>
      </c>
      <c r="G49" s="110">
        <v>1</v>
      </c>
      <c r="H49" s="153">
        <v>36186018.020000003</v>
      </c>
      <c r="I49" s="114">
        <v>3618601.8</v>
      </c>
      <c r="J49" s="114">
        <v>29672534.780000001</v>
      </c>
      <c r="K49" s="114">
        <v>2967253.48</v>
      </c>
      <c r="L49" s="114">
        <v>27951527.760000002</v>
      </c>
      <c r="M49" s="114"/>
    </row>
    <row r="50" spans="1:13" ht="15.6" thickTop="1" thickBot="1" x14ac:dyDescent="0.35">
      <c r="A50" s="110">
        <f>ROW()-6</f>
        <v>44</v>
      </c>
      <c r="B50" s="110" t="s">
        <v>500</v>
      </c>
      <c r="C50" s="110" t="s">
        <v>324</v>
      </c>
      <c r="D50" s="110" t="s">
        <v>138</v>
      </c>
      <c r="E50" s="110">
        <v>173.99</v>
      </c>
      <c r="F50" s="110">
        <v>0</v>
      </c>
      <c r="G50" s="110">
        <v>2</v>
      </c>
      <c r="H50" s="153">
        <v>44409503.380000003</v>
      </c>
      <c r="I50" s="114">
        <v>4440950.34</v>
      </c>
      <c r="J50" s="114">
        <v>36415792.770000003</v>
      </c>
      <c r="K50" s="114">
        <v>3641579.28</v>
      </c>
      <c r="L50" s="114">
        <v>34303676.789999999</v>
      </c>
      <c r="M50" s="114"/>
    </row>
    <row r="51" spans="1:13" ht="15.6" thickTop="1" thickBot="1" x14ac:dyDescent="0.35">
      <c r="A51" s="110">
        <f>ROW()-6</f>
        <v>45</v>
      </c>
      <c r="B51" s="110" t="s">
        <v>515</v>
      </c>
      <c r="C51" s="110" t="s">
        <v>373</v>
      </c>
      <c r="D51" s="110" t="s">
        <v>138</v>
      </c>
      <c r="E51" s="110">
        <v>147</v>
      </c>
      <c r="F51" s="110">
        <v>0</v>
      </c>
      <c r="G51" s="110">
        <v>1</v>
      </c>
      <c r="H51" s="153">
        <v>36407175</v>
      </c>
      <c r="I51" s="114">
        <v>3640717.5</v>
      </c>
      <c r="J51" s="114">
        <v>29853883.5</v>
      </c>
      <c r="K51" s="114">
        <v>2985388.35</v>
      </c>
      <c r="L51" s="114">
        <v>28122358.260000002</v>
      </c>
      <c r="M51" s="114">
        <v>2812235.83</v>
      </c>
    </row>
    <row r="52" spans="1:13" ht="15.6" thickTop="1" thickBot="1" x14ac:dyDescent="0.35">
      <c r="A52" s="110">
        <f t="shared" si="0"/>
        <v>46</v>
      </c>
      <c r="B52" s="110" t="s">
        <v>466</v>
      </c>
      <c r="C52" s="110" t="s">
        <v>373</v>
      </c>
      <c r="D52" s="110" t="s">
        <v>138</v>
      </c>
      <c r="E52" s="110">
        <v>244</v>
      </c>
      <c r="F52" s="110">
        <v>0</v>
      </c>
      <c r="G52" s="110">
        <v>2</v>
      </c>
      <c r="H52" s="153">
        <v>58554868.329999998</v>
      </c>
      <c r="I52" s="114">
        <v>5855486.8300000001</v>
      </c>
      <c r="J52" s="114">
        <v>48014992.030000001</v>
      </c>
      <c r="K52" s="114">
        <v>4801499.2</v>
      </c>
      <c r="L52" s="114">
        <v>45230122.490000002</v>
      </c>
      <c r="M52" s="114">
        <v>4523012.25</v>
      </c>
    </row>
    <row r="53" spans="1:13" ht="15.6" thickTop="1" thickBot="1" x14ac:dyDescent="0.35">
      <c r="A53" s="110">
        <f>ROW()-6</f>
        <v>47</v>
      </c>
      <c r="B53" s="110" t="s">
        <v>501</v>
      </c>
      <c r="C53" s="110" t="s">
        <v>314</v>
      </c>
      <c r="D53" s="110" t="s">
        <v>135</v>
      </c>
      <c r="E53" s="110">
        <v>528.17999999999995</v>
      </c>
      <c r="F53" s="110">
        <v>0</v>
      </c>
      <c r="G53" s="110">
        <v>5</v>
      </c>
      <c r="H53" s="239">
        <v>134813561.09999999</v>
      </c>
      <c r="I53" s="114">
        <v>13481356.109999999</v>
      </c>
      <c r="J53" s="114">
        <v>110547120.09999999</v>
      </c>
      <c r="K53" s="114">
        <v>11054712.01</v>
      </c>
      <c r="L53" s="114">
        <v>104135387.14</v>
      </c>
      <c r="M53" s="114">
        <v>10413538.710000001</v>
      </c>
    </row>
    <row r="54" spans="1:13" ht="15" thickTop="1" x14ac:dyDescent="0.3"/>
  </sheetData>
  <mergeCells count="4">
    <mergeCell ref="A1:M1"/>
    <mergeCell ref="H5:I5"/>
    <mergeCell ref="L5:M5"/>
    <mergeCell ref="J5:K5"/>
  </mergeCells>
  <phoneticPr fontId="20" type="noConversion"/>
  <conditionalFormatting sqref="A6">
    <cfRule type="duplicateValues" dxfId="158" priority="12"/>
    <cfRule type="duplicateValues" dxfId="157" priority="13"/>
    <cfRule type="duplicateValues" dxfId="156" priority="14"/>
  </conditionalFormatting>
  <conditionalFormatting sqref="B54">
    <cfRule type="duplicateValues" dxfId="155" priority="26"/>
    <cfRule type="duplicateValues" dxfId="154" priority="3241"/>
  </conditionalFormatting>
  <conditionalFormatting sqref="B7:B1048576">
    <cfRule type="duplicateValues" dxfId="153" priority="4767"/>
  </conditionalFormatting>
  <conditionalFormatting sqref="B54:B1048576">
    <cfRule type="duplicateValues" dxfId="152" priority="25"/>
    <cfRule type="duplicateValues" dxfId="151" priority="30"/>
  </conditionalFormatting>
  <conditionalFormatting sqref="B55:B1048576">
    <cfRule type="duplicateValues" dxfId="150" priority="22"/>
    <cfRule type="duplicateValues" dxfId="149" priority="23"/>
    <cfRule type="duplicateValues" dxfId="148" priority="24"/>
    <cfRule type="duplicateValues" dxfId="147" priority="28"/>
    <cfRule type="duplicateValues" dxfId="146" priority="29"/>
  </conditionalFormatting>
  <conditionalFormatting sqref="B6:I6">
    <cfRule type="duplicateValues" dxfId="145" priority="15"/>
    <cfRule type="duplicateValues" dxfId="144" priority="16"/>
    <cfRule type="duplicateValues" dxfId="143" priority="17"/>
  </conditionalFormatting>
  <conditionalFormatting sqref="J6:K6">
    <cfRule type="duplicateValues" dxfId="142" priority="4"/>
    <cfRule type="duplicateValues" dxfId="141" priority="5"/>
    <cfRule type="duplicateValues" dxfId="140" priority="6"/>
  </conditionalFormatting>
  <conditionalFormatting sqref="L6:M6">
    <cfRule type="duplicateValues" dxfId="139" priority="1"/>
    <cfRule type="duplicateValues" dxfId="138" priority="2"/>
    <cfRule type="duplicateValues" dxfId="137" priority="3"/>
  </conditionalFormatting>
  <printOptions horizontalCentered="1"/>
  <pageMargins left="0.25" right="0" top="0.5" bottom="0" header="0" footer="0"/>
  <pageSetup scale="47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8EE8-F5EC-4B16-9375-03A1EDF4360D}">
  <sheetPr>
    <pageSetUpPr fitToPage="1"/>
  </sheetPr>
  <dimension ref="A1:G17"/>
  <sheetViews>
    <sheetView zoomScale="101" workbookViewId="0">
      <selection activeCell="G11" sqref="G11"/>
    </sheetView>
  </sheetViews>
  <sheetFormatPr defaultColWidth="13.6640625" defaultRowHeight="22.5" customHeight="1" x14ac:dyDescent="0.3"/>
  <cols>
    <col min="1" max="1" width="4.33203125" customWidth="1"/>
    <col min="2" max="2" width="19.33203125" customWidth="1"/>
    <col min="3" max="3" width="9.6640625" bestFit="1" customWidth="1"/>
    <col min="4" max="4" width="18.5546875" bestFit="1" customWidth="1"/>
    <col min="5" max="5" width="9.6640625" bestFit="1" customWidth="1"/>
    <col min="6" max="6" width="17" customWidth="1"/>
    <col min="7" max="7" width="17.88671875" bestFit="1" customWidth="1"/>
  </cols>
  <sheetData>
    <row r="1" spans="1:7" ht="35.25" customHeight="1" thickTop="1" thickBot="1" x14ac:dyDescent="0.35">
      <c r="A1" s="280" t="s">
        <v>75</v>
      </c>
      <c r="B1" s="281"/>
      <c r="C1" s="281"/>
      <c r="D1" s="281"/>
      <c r="E1" s="281"/>
      <c r="F1" s="281"/>
      <c r="G1" s="282"/>
    </row>
    <row r="2" spans="1:7" ht="13.5" customHeight="1" thickTop="1" thickBot="1" x14ac:dyDescent="0.35"/>
    <row r="3" spans="1:7" s="3" customFormat="1" ht="22.5" customHeight="1" thickTop="1" thickBot="1" x14ac:dyDescent="0.35">
      <c r="A3" s="39" t="s">
        <v>5</v>
      </c>
      <c r="B3" s="39" t="s">
        <v>11</v>
      </c>
      <c r="C3" s="39" t="s">
        <v>12</v>
      </c>
      <c r="D3" s="39" t="s">
        <v>7</v>
      </c>
      <c r="E3" s="39" t="s">
        <v>3</v>
      </c>
      <c r="F3" s="39" t="s">
        <v>70</v>
      </c>
      <c r="G3" s="39" t="s">
        <v>15</v>
      </c>
    </row>
    <row r="4" spans="1:7" ht="22.5" customHeight="1" thickTop="1" thickBot="1" x14ac:dyDescent="0.35">
      <c r="A4" s="41">
        <v>1</v>
      </c>
      <c r="B4" s="29"/>
      <c r="C4" s="29"/>
      <c r="D4" s="29"/>
      <c r="E4" s="29"/>
      <c r="F4" s="29"/>
      <c r="G4" s="34"/>
    </row>
    <row r="5" spans="1:7" ht="22.5" customHeight="1" thickTop="1" thickBot="1" x14ac:dyDescent="0.35">
      <c r="A5" s="41">
        <v>2</v>
      </c>
      <c r="B5" s="29"/>
      <c r="C5" s="29"/>
      <c r="D5" s="29"/>
      <c r="E5" s="29"/>
      <c r="F5" s="29"/>
      <c r="G5" s="34"/>
    </row>
    <row r="6" spans="1:7" ht="22.5" customHeight="1" thickTop="1" thickBot="1" x14ac:dyDescent="0.35">
      <c r="A6" s="41">
        <v>3</v>
      </c>
      <c r="B6" s="29"/>
      <c r="C6" s="29"/>
      <c r="D6" s="29"/>
      <c r="E6" s="29"/>
      <c r="F6" s="29"/>
      <c r="G6" s="34"/>
    </row>
    <row r="7" spans="1:7" ht="22.5" customHeight="1" thickTop="1" thickBot="1" x14ac:dyDescent="0.35">
      <c r="A7" s="41">
        <v>4</v>
      </c>
      <c r="B7" s="29"/>
      <c r="C7" s="29"/>
      <c r="D7" s="29"/>
      <c r="E7" s="29"/>
      <c r="F7" s="29"/>
      <c r="G7" s="34"/>
    </row>
    <row r="8" spans="1:7" ht="22.5" customHeight="1" thickTop="1" thickBot="1" x14ac:dyDescent="0.35">
      <c r="A8" s="41">
        <v>5</v>
      </c>
      <c r="B8" s="29"/>
      <c r="C8" s="29"/>
      <c r="D8" s="29"/>
      <c r="E8" s="29"/>
      <c r="F8" s="29"/>
      <c r="G8" s="34"/>
    </row>
    <row r="9" spans="1:7" ht="22.5" customHeight="1" thickTop="1" thickBot="1" x14ac:dyDescent="0.35">
      <c r="A9" s="41">
        <v>6</v>
      </c>
      <c r="B9" s="29"/>
      <c r="C9" s="29"/>
      <c r="D9" s="29"/>
      <c r="E9" s="29"/>
      <c r="F9" s="29"/>
      <c r="G9" s="34"/>
    </row>
    <row r="10" spans="1:7" ht="22.5" customHeight="1" thickTop="1" thickBot="1" x14ac:dyDescent="0.35">
      <c r="A10" s="41">
        <v>7</v>
      </c>
      <c r="B10" s="29"/>
      <c r="C10" s="29"/>
      <c r="D10" s="29"/>
      <c r="E10" s="29"/>
      <c r="F10" s="29"/>
      <c r="G10" s="34"/>
    </row>
    <row r="11" spans="1:7" ht="22.5" customHeight="1" thickTop="1" thickBot="1" x14ac:dyDescent="0.35">
      <c r="A11" s="41">
        <v>8</v>
      </c>
      <c r="B11" s="29"/>
      <c r="C11" s="29"/>
      <c r="D11" s="29"/>
      <c r="E11" s="29"/>
      <c r="F11" s="29"/>
      <c r="G11" s="34"/>
    </row>
    <row r="12" spans="1:7" ht="22.5" customHeight="1" thickTop="1" thickBot="1" x14ac:dyDescent="0.35">
      <c r="A12" s="41">
        <v>9</v>
      </c>
      <c r="B12" s="29"/>
      <c r="C12" s="29"/>
      <c r="D12" s="29"/>
      <c r="E12" s="29"/>
      <c r="F12" s="29"/>
      <c r="G12" s="34"/>
    </row>
    <row r="13" spans="1:7" ht="22.5" customHeight="1" thickTop="1" thickBot="1" x14ac:dyDescent="0.35">
      <c r="A13" s="41">
        <v>10</v>
      </c>
      <c r="B13" s="29"/>
      <c r="C13" s="29"/>
      <c r="D13" s="29"/>
      <c r="E13" s="29"/>
      <c r="F13" s="29"/>
      <c r="G13" s="34"/>
    </row>
    <row r="14" spans="1:7" ht="22.5" customHeight="1" thickTop="1" thickBot="1" x14ac:dyDescent="0.35">
      <c r="A14" s="41">
        <v>11</v>
      </c>
      <c r="B14" s="29"/>
      <c r="C14" s="29"/>
      <c r="D14" s="29"/>
      <c r="E14" s="29"/>
      <c r="F14" s="29"/>
      <c r="G14" s="34"/>
    </row>
    <row r="15" spans="1:7" ht="22.5" customHeight="1" thickTop="1" thickBot="1" x14ac:dyDescent="0.35">
      <c r="A15" s="41">
        <v>12</v>
      </c>
      <c r="B15" s="29"/>
      <c r="C15" s="29"/>
      <c r="D15" s="29"/>
      <c r="E15" s="29"/>
      <c r="F15" s="29"/>
      <c r="G15" s="34"/>
    </row>
    <row r="16" spans="1:7" ht="22.5" customHeight="1" thickTop="1" thickBot="1" x14ac:dyDescent="0.35">
      <c r="A16" s="41"/>
      <c r="B16" s="68">
        <f>COUNTA(B4:B15)</f>
        <v>0</v>
      </c>
      <c r="C16" s="43"/>
      <c r="D16" s="43"/>
      <c r="E16" s="43"/>
      <c r="F16" s="43"/>
      <c r="G16" s="69">
        <f>SUM(G4:G15)</f>
        <v>0</v>
      </c>
    </row>
    <row r="17" ht="22.5" customHeight="1" thickTop="1" x14ac:dyDescent="0.3"/>
  </sheetData>
  <mergeCells count="1">
    <mergeCell ref="A1:G1"/>
  </mergeCells>
  <conditionalFormatting sqref="B1:B1048576">
    <cfRule type="duplicateValues" dxfId="136" priority="1"/>
  </conditionalFormatting>
  <conditionalFormatting sqref="B18:B1048576">
    <cfRule type="duplicateValues" dxfId="135" priority="2"/>
  </conditionalFormatting>
  <pageMargins left="0.25" right="0.25" top="0.75" bottom="0.75" header="0.3" footer="0.3"/>
  <pageSetup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C6D77-0BB7-41D4-AD0C-24DC4246F09E}">
  <dimension ref="A1:R379"/>
  <sheetViews>
    <sheetView view="pageBreakPreview" topLeftCell="A11" zoomScale="68" zoomScaleNormal="70" zoomScaleSheetLayoutView="61" workbookViewId="0">
      <selection activeCell="A22" sqref="A22:XFD22"/>
    </sheetView>
  </sheetViews>
  <sheetFormatPr defaultColWidth="13.6640625" defaultRowHeight="22.5" customHeight="1" x14ac:dyDescent="0.3"/>
  <cols>
    <col min="1" max="1" width="5.33203125" customWidth="1"/>
    <col min="2" max="2" width="22.6640625" style="106" customWidth="1"/>
    <col min="3" max="3" width="16.77734375" style="106" customWidth="1"/>
    <col min="4" max="4" width="25.109375" style="106" customWidth="1"/>
    <col min="5" max="5" width="16" style="106" customWidth="1"/>
    <col min="6" max="6" width="15.109375" customWidth="1"/>
    <col min="7" max="7" width="13.88671875" customWidth="1"/>
    <col min="8" max="8" width="15.33203125" bestFit="1" customWidth="1"/>
    <col min="9" max="9" width="17.5546875" customWidth="1"/>
    <col min="10" max="10" width="26.6640625" customWidth="1"/>
    <col min="11" max="11" width="21.88671875" customWidth="1"/>
    <col min="12" max="12" width="24.109375" hidden="1" customWidth="1"/>
    <col min="13" max="13" width="19.21875" hidden="1" customWidth="1"/>
    <col min="15" max="15" width="15.44140625" bestFit="1" customWidth="1"/>
    <col min="16" max="16" width="16.109375" bestFit="1" customWidth="1"/>
    <col min="18" max="18" width="17.109375" customWidth="1"/>
    <col min="19" max="19" width="25.21875" customWidth="1"/>
  </cols>
  <sheetData>
    <row r="1" spans="1:18" ht="40.799999999999997" customHeight="1" thickBot="1" x14ac:dyDescent="0.35">
      <c r="A1" s="284" t="s">
        <v>384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</row>
    <row r="2" spans="1:18" ht="13.5" customHeight="1" x14ac:dyDescent="0.3">
      <c r="A2" s="283"/>
      <c r="B2" s="283"/>
      <c r="C2" s="283"/>
      <c r="D2" s="283"/>
      <c r="E2" s="283"/>
      <c r="F2" s="283"/>
      <c r="G2" s="283"/>
      <c r="H2" s="108"/>
      <c r="I2" s="108"/>
      <c r="J2" s="108"/>
    </row>
    <row r="3" spans="1:18" s="3" customFormat="1" ht="35.4" customHeight="1" thickBot="1" x14ac:dyDescent="0.35">
      <c r="A3" s="93" t="s">
        <v>5</v>
      </c>
      <c r="B3" s="105" t="s">
        <v>6</v>
      </c>
      <c r="C3" s="105" t="s">
        <v>12</v>
      </c>
      <c r="D3" s="105" t="s">
        <v>65</v>
      </c>
      <c r="E3" s="105" t="s">
        <v>378</v>
      </c>
      <c r="F3" s="105" t="s">
        <v>45</v>
      </c>
      <c r="G3" s="105" t="s">
        <v>144</v>
      </c>
      <c r="H3" s="105" t="s">
        <v>379</v>
      </c>
      <c r="I3" s="105" t="s">
        <v>380</v>
      </c>
      <c r="J3" s="206" t="s">
        <v>381</v>
      </c>
      <c r="K3" s="207" t="s">
        <v>266</v>
      </c>
      <c r="L3" s="207" t="s">
        <v>382</v>
      </c>
      <c r="M3" s="207" t="s">
        <v>267</v>
      </c>
    </row>
    <row r="4" spans="1:18" ht="22.5" customHeight="1" thickTop="1" thickBot="1" x14ac:dyDescent="0.35">
      <c r="A4" s="107">
        <f t="shared" ref="A4:A21" si="0">ROW()-3</f>
        <v>1</v>
      </c>
      <c r="B4" s="133" t="s">
        <v>374</v>
      </c>
      <c r="C4" s="29">
        <v>901</v>
      </c>
      <c r="D4" s="29" t="s">
        <v>269</v>
      </c>
      <c r="E4" s="29" t="s">
        <v>377</v>
      </c>
      <c r="F4" s="132">
        <v>301</v>
      </c>
      <c r="G4" s="133">
        <v>643</v>
      </c>
      <c r="H4" s="133">
        <v>0</v>
      </c>
      <c r="I4" s="133">
        <v>0</v>
      </c>
      <c r="J4" s="204">
        <v>66258919.130000003</v>
      </c>
      <c r="K4" s="169">
        <v>3312945.96</v>
      </c>
      <c r="L4" s="169">
        <v>74209989.420000002</v>
      </c>
      <c r="M4" s="169">
        <v>3710499.47</v>
      </c>
    </row>
    <row r="5" spans="1:18" ht="22.5" customHeight="1" thickTop="1" thickBot="1" x14ac:dyDescent="0.35">
      <c r="A5" s="107">
        <f t="shared" si="0"/>
        <v>2</v>
      </c>
      <c r="B5" s="133" t="s">
        <v>455</v>
      </c>
      <c r="C5" s="29">
        <v>1105</v>
      </c>
      <c r="D5" s="29" t="s">
        <v>456</v>
      </c>
      <c r="E5" s="29" t="s">
        <v>245</v>
      </c>
      <c r="F5" s="132">
        <v>335</v>
      </c>
      <c r="G5" s="133">
        <v>542.78</v>
      </c>
      <c r="H5" s="133">
        <v>0</v>
      </c>
      <c r="I5" s="133">
        <v>0</v>
      </c>
      <c r="J5" s="204">
        <v>51145024.5</v>
      </c>
      <c r="K5" s="169">
        <v>2557251.2200000002</v>
      </c>
      <c r="L5" s="169"/>
      <c r="M5" s="169"/>
    </row>
    <row r="6" spans="1:18" ht="22.5" customHeight="1" thickTop="1" thickBot="1" x14ac:dyDescent="0.35">
      <c r="A6" s="107">
        <f t="shared" si="0"/>
        <v>3</v>
      </c>
      <c r="B6" s="133" t="s">
        <v>105</v>
      </c>
      <c r="C6" s="29">
        <v>3001</v>
      </c>
      <c r="D6" s="29" t="s">
        <v>268</v>
      </c>
      <c r="E6" s="29" t="s">
        <v>147</v>
      </c>
      <c r="F6" s="132">
        <v>260</v>
      </c>
      <c r="G6" s="133">
        <v>532.25</v>
      </c>
      <c r="H6" s="133">
        <v>0</v>
      </c>
      <c r="I6" s="133">
        <v>0</v>
      </c>
      <c r="J6" s="204">
        <v>49954097.130000003</v>
      </c>
      <c r="K6" s="169">
        <v>2497704.86</v>
      </c>
      <c r="L6" s="169">
        <v>55948588.780000001</v>
      </c>
      <c r="M6" s="169">
        <v>2797429.44</v>
      </c>
    </row>
    <row r="7" spans="1:18" ht="22.5" customHeight="1" thickTop="1" thickBot="1" x14ac:dyDescent="0.35">
      <c r="A7" s="107">
        <f t="shared" si="0"/>
        <v>4</v>
      </c>
      <c r="B7" s="133" t="s">
        <v>106</v>
      </c>
      <c r="C7" s="29">
        <v>3001</v>
      </c>
      <c r="D7" s="29" t="s">
        <v>268</v>
      </c>
      <c r="E7" s="29" t="s">
        <v>149</v>
      </c>
      <c r="F7" s="132">
        <v>265</v>
      </c>
      <c r="G7" s="133">
        <v>521.13</v>
      </c>
      <c r="H7" s="133">
        <v>0</v>
      </c>
      <c r="I7" s="133">
        <v>0</v>
      </c>
      <c r="J7" s="204">
        <v>49368277.439999998</v>
      </c>
      <c r="K7" s="169">
        <v>2468413.87</v>
      </c>
      <c r="L7" s="169">
        <v>55292470.740000002</v>
      </c>
      <c r="M7" s="169">
        <v>2764623.54</v>
      </c>
    </row>
    <row r="8" spans="1:18" ht="22.5" customHeight="1" thickTop="1" thickBot="1" x14ac:dyDescent="0.35">
      <c r="A8" s="107">
        <f t="shared" si="0"/>
        <v>5</v>
      </c>
      <c r="B8" s="133" t="s">
        <v>107</v>
      </c>
      <c r="C8" s="29">
        <v>3002</v>
      </c>
      <c r="D8" s="29" t="s">
        <v>268</v>
      </c>
      <c r="E8" s="29" t="s">
        <v>147</v>
      </c>
      <c r="F8" s="132">
        <v>260</v>
      </c>
      <c r="G8" s="133">
        <v>478.81</v>
      </c>
      <c r="H8" s="133">
        <v>0</v>
      </c>
      <c r="I8" s="133">
        <v>0</v>
      </c>
      <c r="J8" s="204">
        <v>47425539.659999996</v>
      </c>
      <c r="K8" s="169">
        <v>2371276.98</v>
      </c>
      <c r="L8" s="169">
        <v>53116604.409999996</v>
      </c>
      <c r="M8" s="169">
        <v>2655830.2200000002</v>
      </c>
    </row>
    <row r="9" spans="1:18" ht="22.5" customHeight="1" thickTop="1" thickBot="1" x14ac:dyDescent="0.35">
      <c r="A9" s="107">
        <f t="shared" si="0"/>
        <v>6</v>
      </c>
      <c r="B9" s="133" t="s">
        <v>108</v>
      </c>
      <c r="C9" s="29">
        <v>3002</v>
      </c>
      <c r="D9" s="29" t="s">
        <v>268</v>
      </c>
      <c r="E9" s="29" t="s">
        <v>149</v>
      </c>
      <c r="F9" s="132">
        <v>265</v>
      </c>
      <c r="G9" s="133">
        <v>457.92</v>
      </c>
      <c r="H9" s="133">
        <v>0</v>
      </c>
      <c r="I9" s="133">
        <v>0</v>
      </c>
      <c r="J9" s="204">
        <v>46094576.859999999</v>
      </c>
      <c r="K9" s="169">
        <v>2304728.84</v>
      </c>
      <c r="L9" s="169">
        <v>51625926.079999998</v>
      </c>
      <c r="M9" s="169">
        <v>2581296.2999999998</v>
      </c>
    </row>
    <row r="10" spans="1:18" ht="22.5" customHeight="1" thickTop="1" thickBot="1" x14ac:dyDescent="0.35">
      <c r="A10" s="107">
        <f t="shared" si="0"/>
        <v>7</v>
      </c>
      <c r="B10" s="133" t="s">
        <v>370</v>
      </c>
      <c r="C10" s="29">
        <v>3004</v>
      </c>
      <c r="D10" s="29" t="s">
        <v>268</v>
      </c>
      <c r="E10" s="29" t="s">
        <v>149</v>
      </c>
      <c r="F10" s="132">
        <v>265</v>
      </c>
      <c r="G10" s="133">
        <v>446.5</v>
      </c>
      <c r="H10" s="133">
        <v>0</v>
      </c>
      <c r="I10" s="133">
        <v>0</v>
      </c>
      <c r="J10" s="204">
        <v>44695114.939999998</v>
      </c>
      <c r="K10" s="169">
        <v>2234755.75</v>
      </c>
      <c r="L10" s="169">
        <v>50058528.729999997</v>
      </c>
      <c r="M10" s="169">
        <v>2502926.44</v>
      </c>
    </row>
    <row r="11" spans="1:18" ht="22.5" customHeight="1" thickTop="1" thickBot="1" x14ac:dyDescent="0.35">
      <c r="A11" s="107">
        <f t="shared" si="0"/>
        <v>8</v>
      </c>
      <c r="B11" s="133" t="s">
        <v>375</v>
      </c>
      <c r="C11" s="29">
        <v>3005</v>
      </c>
      <c r="D11" s="29" t="s">
        <v>268</v>
      </c>
      <c r="E11" s="29" t="s">
        <v>147</v>
      </c>
      <c r="F11" s="132">
        <v>260</v>
      </c>
      <c r="G11" s="133">
        <v>441.57</v>
      </c>
      <c r="H11" s="133">
        <v>0</v>
      </c>
      <c r="I11" s="133">
        <v>0</v>
      </c>
      <c r="J11" s="204">
        <v>44109077.869999997</v>
      </c>
      <c r="K11" s="169">
        <v>2205453.89</v>
      </c>
      <c r="L11" s="169">
        <v>49402167.210000001</v>
      </c>
      <c r="M11" s="169">
        <v>2470108.36</v>
      </c>
    </row>
    <row r="12" spans="1:18" ht="22.2" customHeight="1" thickTop="1" thickBot="1" x14ac:dyDescent="0.35">
      <c r="A12" s="107">
        <f t="shared" si="0"/>
        <v>9</v>
      </c>
      <c r="B12" s="133" t="s">
        <v>351</v>
      </c>
      <c r="C12" s="29">
        <v>4005</v>
      </c>
      <c r="D12" s="29" t="s">
        <v>121</v>
      </c>
      <c r="E12" s="29" t="s">
        <v>146</v>
      </c>
      <c r="F12" s="166">
        <v>300</v>
      </c>
      <c r="G12" s="133">
        <v>610.79999999999995</v>
      </c>
      <c r="H12" s="133">
        <v>0</v>
      </c>
      <c r="I12" s="133">
        <v>0</v>
      </c>
      <c r="J12" s="204">
        <v>61229632.520000003</v>
      </c>
      <c r="K12" s="169">
        <v>3061481.63</v>
      </c>
      <c r="L12" s="169">
        <v>68577188.430000007</v>
      </c>
      <c r="M12" s="169">
        <v>3428859.42</v>
      </c>
    </row>
    <row r="13" spans="1:18" ht="22.2" customHeight="1" thickTop="1" thickBot="1" x14ac:dyDescent="0.35">
      <c r="A13" s="107">
        <f t="shared" si="0"/>
        <v>10</v>
      </c>
      <c r="B13" s="133" t="s">
        <v>353</v>
      </c>
      <c r="C13" s="29">
        <v>4008</v>
      </c>
      <c r="D13" s="29" t="s">
        <v>121</v>
      </c>
      <c r="E13" s="29" t="s">
        <v>146</v>
      </c>
      <c r="F13" s="166">
        <v>300</v>
      </c>
      <c r="G13" s="133">
        <v>792</v>
      </c>
      <c r="H13" s="133">
        <v>0</v>
      </c>
      <c r="I13" s="133">
        <v>0</v>
      </c>
      <c r="J13" s="204">
        <v>64572079.609999999</v>
      </c>
      <c r="K13" s="169">
        <v>3228603.98</v>
      </c>
      <c r="L13" s="169">
        <v>72320729.170000002</v>
      </c>
      <c r="M13" s="169">
        <v>3616036.46</v>
      </c>
    </row>
    <row r="14" spans="1:18" s="106" customFormat="1" ht="22.5" customHeight="1" thickTop="1" thickBot="1" x14ac:dyDescent="0.35">
      <c r="A14" s="170">
        <f t="shared" si="0"/>
        <v>11</v>
      </c>
      <c r="B14" s="171" t="s">
        <v>271</v>
      </c>
      <c r="C14" s="29">
        <v>5012</v>
      </c>
      <c r="D14" s="31" t="s">
        <v>121</v>
      </c>
      <c r="E14" s="31" t="s">
        <v>270</v>
      </c>
      <c r="F14" s="172">
        <v>606</v>
      </c>
      <c r="G14" s="171">
        <v>862</v>
      </c>
      <c r="H14" s="171">
        <v>0</v>
      </c>
      <c r="I14" s="171">
        <v>330</v>
      </c>
      <c r="J14" s="205">
        <v>115154196.67</v>
      </c>
      <c r="K14" s="173">
        <v>5757709.8300000001</v>
      </c>
      <c r="L14" s="173">
        <v>128972700.27</v>
      </c>
      <c r="M14" s="173">
        <v>6448635.0099999998</v>
      </c>
    </row>
    <row r="15" spans="1:18" ht="22.2" customHeight="1" thickTop="1" thickBot="1" x14ac:dyDescent="0.35">
      <c r="A15" s="107">
        <f t="shared" si="0"/>
        <v>12</v>
      </c>
      <c r="B15" s="133" t="s">
        <v>376</v>
      </c>
      <c r="C15" s="29">
        <v>5001</v>
      </c>
      <c r="D15" s="29" t="s">
        <v>269</v>
      </c>
      <c r="E15" s="29" t="s">
        <v>352</v>
      </c>
      <c r="F15" s="166">
        <v>418</v>
      </c>
      <c r="G15" s="166">
        <v>751</v>
      </c>
      <c r="H15" s="133">
        <v>0</v>
      </c>
      <c r="I15" s="133">
        <v>0</v>
      </c>
      <c r="J15" s="204">
        <v>64337483.869999997</v>
      </c>
      <c r="K15" s="169">
        <v>3216874.19</v>
      </c>
      <c r="L15" s="169">
        <v>72057981.930000007</v>
      </c>
      <c r="M15" s="169">
        <v>3602899.1</v>
      </c>
    </row>
    <row r="16" spans="1:18" ht="22.5" customHeight="1" thickTop="1" thickBot="1" x14ac:dyDescent="0.35">
      <c r="A16" s="107">
        <f t="shared" si="0"/>
        <v>13</v>
      </c>
      <c r="B16" s="133" t="s">
        <v>403</v>
      </c>
      <c r="C16" s="29">
        <v>7006</v>
      </c>
      <c r="D16" s="29" t="s">
        <v>269</v>
      </c>
      <c r="E16" s="29" t="s">
        <v>404</v>
      </c>
      <c r="F16" s="166">
        <v>565</v>
      </c>
      <c r="G16" s="133">
        <v>1260.55</v>
      </c>
      <c r="H16" s="133">
        <v>0</v>
      </c>
      <c r="I16" s="133">
        <v>0</v>
      </c>
      <c r="J16" s="204">
        <v>126216131.14</v>
      </c>
      <c r="K16" s="169">
        <v>6310806.5599999996</v>
      </c>
      <c r="L16" s="169">
        <v>141362066.88</v>
      </c>
      <c r="M16" s="169">
        <v>7068103.3399999999</v>
      </c>
      <c r="P16" s="197"/>
      <c r="R16" s="197"/>
    </row>
    <row r="17" spans="1:18" ht="22.5" customHeight="1" thickTop="1" thickBot="1" x14ac:dyDescent="0.35">
      <c r="A17" s="107">
        <f t="shared" si="0"/>
        <v>14</v>
      </c>
      <c r="B17" s="133" t="s">
        <v>405</v>
      </c>
      <c r="C17" s="29">
        <v>7007</v>
      </c>
      <c r="D17" s="29" t="s">
        <v>269</v>
      </c>
      <c r="E17" s="29" t="s">
        <v>404</v>
      </c>
      <c r="F17" s="166">
        <v>565</v>
      </c>
      <c r="G17" s="133">
        <v>1207.02</v>
      </c>
      <c r="H17" s="133">
        <v>0</v>
      </c>
      <c r="I17" s="133">
        <v>0</v>
      </c>
      <c r="J17" s="204">
        <v>120834887.83</v>
      </c>
      <c r="K17" s="169">
        <v>6041744.3899999997</v>
      </c>
      <c r="L17" s="169">
        <v>135335074.37</v>
      </c>
      <c r="M17" s="169">
        <v>6766753.7199999997</v>
      </c>
      <c r="P17" s="197"/>
      <c r="R17" s="197"/>
    </row>
    <row r="18" spans="1:18" ht="22.5" customHeight="1" thickTop="1" thickBot="1" x14ac:dyDescent="0.35">
      <c r="A18" s="107">
        <f t="shared" si="0"/>
        <v>15</v>
      </c>
      <c r="B18" s="133" t="s">
        <v>406</v>
      </c>
      <c r="C18" s="29">
        <v>7009</v>
      </c>
      <c r="D18" s="29" t="s">
        <v>269</v>
      </c>
      <c r="E18" s="29" t="s">
        <v>255</v>
      </c>
      <c r="F18" s="166">
        <v>525</v>
      </c>
      <c r="G18" s="133">
        <v>1081.58</v>
      </c>
      <c r="H18" s="133">
        <v>0</v>
      </c>
      <c r="I18" s="133">
        <v>0</v>
      </c>
      <c r="J18" s="204">
        <v>110583235.12</v>
      </c>
      <c r="K18" s="169">
        <v>5529161.7599999998</v>
      </c>
      <c r="L18" s="169">
        <v>123853223.34</v>
      </c>
      <c r="M18" s="169">
        <v>6192661.1699999999</v>
      </c>
      <c r="P18" s="197"/>
      <c r="R18" s="197"/>
    </row>
    <row r="19" spans="1:18" ht="22.5" customHeight="1" thickTop="1" thickBot="1" x14ac:dyDescent="0.35">
      <c r="A19" s="107">
        <f t="shared" si="0"/>
        <v>16</v>
      </c>
      <c r="B19" s="133" t="s">
        <v>460</v>
      </c>
      <c r="C19" s="29">
        <v>5010</v>
      </c>
      <c r="D19" s="29" t="s">
        <v>121</v>
      </c>
      <c r="E19" s="29" t="s">
        <v>352</v>
      </c>
      <c r="F19" s="166">
        <v>418</v>
      </c>
      <c r="G19" s="133">
        <v>707.65</v>
      </c>
      <c r="H19" s="133">
        <v>0</v>
      </c>
      <c r="I19" s="133">
        <v>0</v>
      </c>
      <c r="J19" s="204">
        <v>73853980.450000003</v>
      </c>
      <c r="K19" s="169">
        <v>3692699.02</v>
      </c>
      <c r="L19" s="169"/>
      <c r="M19" s="169"/>
      <c r="P19" s="197"/>
      <c r="R19" s="197"/>
    </row>
    <row r="20" spans="1:18" ht="22.5" customHeight="1" thickTop="1" thickBot="1" x14ac:dyDescent="0.35">
      <c r="A20" s="107">
        <f t="shared" si="0"/>
        <v>17</v>
      </c>
      <c r="B20" s="133" t="s">
        <v>459</v>
      </c>
      <c r="C20" s="29">
        <v>1113</v>
      </c>
      <c r="D20" s="29" t="s">
        <v>462</v>
      </c>
      <c r="E20" s="29" t="s">
        <v>463</v>
      </c>
      <c r="F20" s="166">
        <v>254</v>
      </c>
      <c r="G20" s="133">
        <v>379.95</v>
      </c>
      <c r="H20" s="133">
        <v>0</v>
      </c>
      <c r="I20" s="133">
        <v>0</v>
      </c>
      <c r="J20" s="204">
        <v>44991534.609999999</v>
      </c>
      <c r="K20" s="169">
        <v>2249576.73</v>
      </c>
      <c r="L20" s="169"/>
      <c r="M20" s="169"/>
      <c r="P20" s="197"/>
      <c r="R20" s="197"/>
    </row>
    <row r="21" spans="1:18" ht="22.5" customHeight="1" thickTop="1" thickBot="1" x14ac:dyDescent="0.35">
      <c r="A21" s="107">
        <f t="shared" si="0"/>
        <v>18</v>
      </c>
      <c r="B21" s="133" t="s">
        <v>461</v>
      </c>
      <c r="C21" s="29">
        <v>5013</v>
      </c>
      <c r="D21" s="29" t="s">
        <v>121</v>
      </c>
      <c r="E21" s="29" t="s">
        <v>270</v>
      </c>
      <c r="F21" s="166">
        <v>606</v>
      </c>
      <c r="G21" s="133">
        <v>858</v>
      </c>
      <c r="H21" s="133">
        <v>0</v>
      </c>
      <c r="I21" s="133">
        <v>330</v>
      </c>
      <c r="J21" s="204">
        <v>118801224.92</v>
      </c>
      <c r="K21" s="169">
        <v>5940061.25</v>
      </c>
      <c r="L21" s="169"/>
      <c r="M21" s="169"/>
      <c r="P21" s="197"/>
      <c r="R21" s="197"/>
    </row>
    <row r="22" spans="1:18" ht="22.5" customHeight="1" x14ac:dyDescent="0.3">
      <c r="B22"/>
      <c r="C22"/>
      <c r="D22"/>
      <c r="E22"/>
      <c r="K22" s="156"/>
      <c r="P22" s="197"/>
      <c r="R22" s="197"/>
    </row>
    <row r="23" spans="1:18" ht="19.2" customHeight="1" x14ac:dyDescent="0.3">
      <c r="B23"/>
      <c r="C23"/>
      <c r="D23"/>
      <c r="E23"/>
      <c r="K23" s="156"/>
      <c r="P23" s="197"/>
      <c r="R23" s="197"/>
    </row>
    <row r="24" spans="1:18" ht="22.5" customHeight="1" x14ac:dyDescent="0.3">
      <c r="B24" s="137"/>
      <c r="C24" s="115"/>
      <c r="D24"/>
      <c r="E24"/>
      <c r="K24" s="156"/>
      <c r="P24" s="197"/>
      <c r="R24" s="197"/>
    </row>
    <row r="25" spans="1:18" ht="35.4" customHeight="1" x14ac:dyDescent="0.3">
      <c r="B25" s="137"/>
      <c r="C25" s="115"/>
      <c r="D25"/>
      <c r="E25"/>
      <c r="K25" s="156"/>
      <c r="P25" s="197"/>
      <c r="R25" s="197"/>
    </row>
    <row r="26" spans="1:18" ht="22.5" customHeight="1" x14ac:dyDescent="0.3">
      <c r="B26" s="137"/>
      <c r="C26" s="115"/>
      <c r="D26" s="137"/>
      <c r="E26" s="137"/>
      <c r="K26" s="156"/>
      <c r="P26" s="197"/>
      <c r="R26" s="197"/>
    </row>
    <row r="27" spans="1:18" ht="22.5" customHeight="1" x14ac:dyDescent="0.3">
      <c r="B27" s="137"/>
      <c r="C27"/>
      <c r="D27"/>
      <c r="E27" s="108"/>
      <c r="K27" s="156"/>
      <c r="P27" s="197"/>
      <c r="R27" s="197"/>
    </row>
    <row r="28" spans="1:18" ht="22.5" customHeight="1" x14ac:dyDescent="0.3">
      <c r="B28" s="137"/>
      <c r="C28"/>
      <c r="D28"/>
      <c r="E28" s="108"/>
      <c r="K28" s="156"/>
      <c r="P28" s="197"/>
      <c r="R28" s="197"/>
    </row>
    <row r="29" spans="1:18" ht="22.5" customHeight="1" x14ac:dyDescent="0.3">
      <c r="B29" s="137"/>
      <c r="C29"/>
      <c r="D29"/>
      <c r="E29" s="108"/>
      <c r="K29" s="156"/>
      <c r="P29" s="197"/>
      <c r="R29" s="197"/>
    </row>
    <row r="30" spans="1:18" ht="22.5" customHeight="1" x14ac:dyDescent="0.3">
      <c r="B30" s="137"/>
      <c r="C30"/>
      <c r="D30"/>
      <c r="E30" s="108"/>
      <c r="K30" s="156"/>
      <c r="P30" s="197"/>
      <c r="R30" s="197"/>
    </row>
    <row r="31" spans="1:18" ht="22.5" customHeight="1" x14ac:dyDescent="0.3">
      <c r="B31" s="137"/>
      <c r="C31"/>
      <c r="D31"/>
      <c r="E31" s="108"/>
      <c r="K31" s="156"/>
      <c r="P31" s="197"/>
      <c r="R31" s="197"/>
    </row>
    <row r="32" spans="1:18" ht="22.5" customHeight="1" x14ac:dyDescent="0.3">
      <c r="B32" s="137"/>
      <c r="C32"/>
      <c r="D32"/>
      <c r="E32" s="108"/>
      <c r="K32" s="156"/>
      <c r="P32" s="197"/>
      <c r="R32" s="197"/>
    </row>
    <row r="33" spans="2:18" ht="22.5" customHeight="1" x14ac:dyDescent="0.3">
      <c r="B33" s="137"/>
      <c r="C33"/>
      <c r="D33"/>
      <c r="E33" s="108"/>
      <c r="K33" s="156"/>
      <c r="P33" s="197"/>
      <c r="R33" s="197"/>
    </row>
    <row r="34" spans="2:18" ht="22.5" customHeight="1" x14ac:dyDescent="0.3">
      <c r="B34" s="137"/>
      <c r="C34"/>
      <c r="D34"/>
      <c r="E34" s="108"/>
      <c r="K34" s="156"/>
      <c r="P34" s="197"/>
      <c r="R34" s="197"/>
    </row>
    <row r="35" spans="2:18" ht="22.5" customHeight="1" x14ac:dyDescent="0.3">
      <c r="B35" s="137"/>
      <c r="C35"/>
      <c r="D35"/>
      <c r="E35" s="108"/>
      <c r="K35" s="156"/>
      <c r="P35" s="197"/>
      <c r="R35" s="197"/>
    </row>
    <row r="36" spans="2:18" ht="22.5" customHeight="1" x14ac:dyDescent="0.3">
      <c r="B36" s="145"/>
      <c r="C36"/>
      <c r="D36"/>
      <c r="E36" s="108"/>
      <c r="K36" s="156"/>
      <c r="P36" s="197"/>
      <c r="R36" s="197"/>
    </row>
    <row r="37" spans="2:18" ht="22.5" customHeight="1" x14ac:dyDescent="0.3">
      <c r="B37" s="137"/>
      <c r="C37"/>
      <c r="D37"/>
      <c r="E37" s="108"/>
      <c r="K37" s="156"/>
      <c r="P37" s="197"/>
      <c r="R37" s="197"/>
    </row>
    <row r="38" spans="2:18" ht="22.5" customHeight="1" x14ac:dyDescent="0.3">
      <c r="B38" s="137"/>
      <c r="C38"/>
      <c r="D38"/>
      <c r="E38" s="108"/>
      <c r="K38" s="156"/>
      <c r="P38" s="197"/>
      <c r="R38" s="197"/>
    </row>
    <row r="39" spans="2:18" ht="22.5" customHeight="1" x14ac:dyDescent="0.3">
      <c r="B39" s="137"/>
      <c r="C39"/>
      <c r="D39"/>
      <c r="E39" s="108"/>
      <c r="K39" s="156"/>
      <c r="P39" s="197"/>
      <c r="R39" s="197"/>
    </row>
    <row r="40" spans="2:18" ht="22.5" customHeight="1" x14ac:dyDescent="0.3">
      <c r="B40" s="137"/>
      <c r="C40"/>
      <c r="D40"/>
      <c r="E40" s="108"/>
      <c r="K40" s="156"/>
      <c r="P40" s="197"/>
      <c r="R40" s="197"/>
    </row>
    <row r="41" spans="2:18" ht="22.5" customHeight="1" x14ac:dyDescent="0.3">
      <c r="B41" s="137"/>
      <c r="C41"/>
      <c r="D41"/>
      <c r="E41" s="108"/>
      <c r="K41" s="156"/>
      <c r="P41" s="197"/>
      <c r="R41" s="197"/>
    </row>
    <row r="42" spans="2:18" ht="22.5" customHeight="1" x14ac:dyDescent="0.3">
      <c r="B42" s="137"/>
      <c r="C42"/>
      <c r="D42"/>
      <c r="E42" s="108"/>
      <c r="K42" s="156"/>
      <c r="P42" s="197"/>
      <c r="R42" s="197"/>
    </row>
    <row r="43" spans="2:18" ht="22.5" customHeight="1" x14ac:dyDescent="0.3">
      <c r="B43" s="137"/>
      <c r="C43"/>
      <c r="D43"/>
      <c r="E43" s="108"/>
      <c r="K43" s="157"/>
      <c r="P43" s="197"/>
      <c r="R43" s="197"/>
    </row>
    <row r="44" spans="2:18" ht="22.5" customHeight="1" x14ac:dyDescent="0.3">
      <c r="B44" s="137"/>
      <c r="C44"/>
      <c r="D44"/>
      <c r="E44" s="108"/>
      <c r="K44" s="157"/>
      <c r="P44" s="197"/>
    </row>
    <row r="45" spans="2:18" ht="22.5" customHeight="1" x14ac:dyDescent="0.3">
      <c r="B45" s="137"/>
      <c r="C45"/>
      <c r="D45"/>
      <c r="E45" s="108"/>
      <c r="K45" s="157"/>
    </row>
    <row r="46" spans="2:18" ht="22.5" customHeight="1" x14ac:dyDescent="0.3">
      <c r="B46" s="137"/>
      <c r="C46"/>
      <c r="D46"/>
      <c r="E46" s="108"/>
      <c r="K46" s="157"/>
    </row>
    <row r="47" spans="2:18" ht="22.5" customHeight="1" x14ac:dyDescent="0.3">
      <c r="B47" s="137"/>
      <c r="C47"/>
      <c r="D47"/>
      <c r="E47" s="108"/>
      <c r="K47" s="157"/>
    </row>
    <row r="48" spans="2:18" ht="22.5" customHeight="1" x14ac:dyDescent="0.3">
      <c r="B48" s="137"/>
      <c r="C48"/>
      <c r="D48"/>
      <c r="E48" s="108"/>
      <c r="K48" s="156"/>
    </row>
    <row r="49" spans="2:11" ht="22.5" customHeight="1" x14ac:dyDescent="0.3">
      <c r="B49" s="137"/>
      <c r="C49"/>
      <c r="D49"/>
      <c r="E49" s="108"/>
      <c r="K49" s="156"/>
    </row>
    <row r="50" spans="2:11" ht="22.5" customHeight="1" x14ac:dyDescent="0.3">
      <c r="B50" s="137"/>
      <c r="C50"/>
      <c r="D50"/>
      <c r="E50" s="108"/>
      <c r="K50" s="156"/>
    </row>
    <row r="51" spans="2:11" ht="22.5" customHeight="1" x14ac:dyDescent="0.3">
      <c r="B51" s="137"/>
      <c r="C51"/>
      <c r="D51"/>
      <c r="E51" s="108"/>
      <c r="K51" s="156"/>
    </row>
    <row r="52" spans="2:11" ht="22.5" customHeight="1" x14ac:dyDescent="0.3">
      <c r="B52" s="137"/>
      <c r="C52"/>
      <c r="D52"/>
      <c r="E52" s="108"/>
      <c r="K52" s="156"/>
    </row>
    <row r="53" spans="2:11" ht="22.5" customHeight="1" x14ac:dyDescent="0.3">
      <c r="B53" s="137"/>
      <c r="C53"/>
      <c r="D53"/>
      <c r="E53" s="108"/>
      <c r="K53" s="156"/>
    </row>
    <row r="54" spans="2:11" ht="22.5" customHeight="1" x14ac:dyDescent="0.3">
      <c r="B54" s="137"/>
      <c r="C54"/>
      <c r="D54"/>
      <c r="E54"/>
      <c r="K54" s="156"/>
    </row>
    <row r="55" spans="2:11" ht="22.5" customHeight="1" x14ac:dyDescent="0.3">
      <c r="B55" s="137"/>
      <c r="C55"/>
      <c r="D55"/>
      <c r="E55"/>
      <c r="K55" s="156"/>
    </row>
    <row r="56" spans="2:11" ht="22.5" customHeight="1" x14ac:dyDescent="0.3">
      <c r="B56" s="137"/>
      <c r="C56"/>
      <c r="D56"/>
      <c r="E56"/>
      <c r="K56" s="156"/>
    </row>
    <row r="57" spans="2:11" ht="22.5" customHeight="1" x14ac:dyDescent="0.3">
      <c r="B57" s="137"/>
      <c r="C57"/>
      <c r="D57"/>
      <c r="E57"/>
    </row>
    <row r="58" spans="2:11" ht="22.5" customHeight="1" x14ac:dyDescent="0.3">
      <c r="B58" s="137"/>
      <c r="C58"/>
      <c r="D58"/>
      <c r="E58"/>
    </row>
    <row r="59" spans="2:11" ht="22.5" customHeight="1" x14ac:dyDescent="0.3">
      <c r="B59" s="137"/>
      <c r="C59"/>
      <c r="D59"/>
      <c r="E59"/>
    </row>
    <row r="60" spans="2:11" ht="22.5" customHeight="1" x14ac:dyDescent="0.3">
      <c r="B60" s="137"/>
      <c r="C60"/>
      <c r="D60"/>
      <c r="E60"/>
    </row>
    <row r="61" spans="2:11" ht="22.5" customHeight="1" x14ac:dyDescent="0.3">
      <c r="B61" s="137"/>
      <c r="C61"/>
      <c r="D61"/>
      <c r="E61"/>
    </row>
    <row r="62" spans="2:11" ht="22.5" customHeight="1" x14ac:dyDescent="0.3">
      <c r="B62" s="137"/>
      <c r="C62"/>
      <c r="D62"/>
      <c r="E62"/>
    </row>
    <row r="63" spans="2:11" ht="22.5" customHeight="1" x14ac:dyDescent="0.3">
      <c r="B63" s="137"/>
      <c r="C63"/>
      <c r="D63"/>
      <c r="E63"/>
    </row>
    <row r="64" spans="2:11" ht="22.5" customHeight="1" x14ac:dyDescent="0.3">
      <c r="B64" s="137"/>
      <c r="C64"/>
      <c r="D64"/>
      <c r="E64"/>
    </row>
    <row r="65" spans="2:5" ht="22.5" customHeight="1" x14ac:dyDescent="0.3">
      <c r="B65" s="137"/>
      <c r="C65"/>
      <c r="D65"/>
      <c r="E65"/>
    </row>
    <row r="66" spans="2:5" ht="22.5" customHeight="1" x14ac:dyDescent="0.3">
      <c r="B66" s="137"/>
      <c r="C66"/>
      <c r="D66"/>
      <c r="E66"/>
    </row>
    <row r="67" spans="2:5" ht="22.5" customHeight="1" x14ac:dyDescent="0.3">
      <c r="B67" s="137"/>
      <c r="C67"/>
      <c r="D67"/>
      <c r="E67"/>
    </row>
    <row r="68" spans="2:5" ht="22.5" customHeight="1" x14ac:dyDescent="0.3">
      <c r="B68" s="137"/>
      <c r="C68"/>
      <c r="D68"/>
      <c r="E68"/>
    </row>
    <row r="69" spans="2:5" ht="22.5" customHeight="1" x14ac:dyDescent="0.3">
      <c r="B69" s="137"/>
      <c r="C69"/>
      <c r="D69"/>
      <c r="E69"/>
    </row>
    <row r="70" spans="2:5" ht="22.5" customHeight="1" x14ac:dyDescent="0.3">
      <c r="B70" s="137"/>
      <c r="C70"/>
      <c r="D70"/>
      <c r="E70"/>
    </row>
    <row r="71" spans="2:5" ht="22.5" customHeight="1" x14ac:dyDescent="0.3">
      <c r="B71" s="137"/>
      <c r="C71"/>
      <c r="D71"/>
      <c r="E71"/>
    </row>
    <row r="72" spans="2:5" ht="22.5" customHeight="1" x14ac:dyDescent="0.3">
      <c r="B72" s="137"/>
      <c r="C72"/>
      <c r="D72"/>
      <c r="E72"/>
    </row>
    <row r="73" spans="2:5" ht="22.5" customHeight="1" x14ac:dyDescent="0.3">
      <c r="B73" s="137"/>
      <c r="C73"/>
      <c r="D73"/>
      <c r="E73"/>
    </row>
    <row r="74" spans="2:5" ht="22.5" customHeight="1" x14ac:dyDescent="0.3">
      <c r="B74" s="137"/>
      <c r="C74"/>
      <c r="D74"/>
      <c r="E74"/>
    </row>
    <row r="75" spans="2:5" ht="22.5" customHeight="1" x14ac:dyDescent="0.3">
      <c r="B75" s="137"/>
      <c r="C75"/>
      <c r="D75"/>
      <c r="E75"/>
    </row>
    <row r="76" spans="2:5" ht="22.5" customHeight="1" x14ac:dyDescent="0.3">
      <c r="B76" s="137"/>
      <c r="C76"/>
      <c r="D76"/>
      <c r="E76"/>
    </row>
    <row r="77" spans="2:5" ht="22.5" customHeight="1" x14ac:dyDescent="0.3">
      <c r="B77" s="137"/>
      <c r="C77"/>
      <c r="D77"/>
      <c r="E77"/>
    </row>
    <row r="78" spans="2:5" ht="22.5" customHeight="1" x14ac:dyDescent="0.3">
      <c r="B78" s="137"/>
      <c r="C78"/>
      <c r="D78"/>
      <c r="E78"/>
    </row>
    <row r="79" spans="2:5" ht="22.5" customHeight="1" x14ac:dyDescent="0.3">
      <c r="B79" s="137"/>
      <c r="C79"/>
      <c r="D79"/>
      <c r="E79"/>
    </row>
    <row r="80" spans="2:5" ht="22.5" customHeight="1" x14ac:dyDescent="0.3">
      <c r="B80" s="137"/>
      <c r="C80"/>
      <c r="D80"/>
      <c r="E80"/>
    </row>
    <row r="81" spans="2:5" ht="22.5" customHeight="1" x14ac:dyDescent="0.3">
      <c r="B81" s="137"/>
      <c r="C81"/>
      <c r="D81"/>
      <c r="E81"/>
    </row>
    <row r="82" spans="2:5" ht="22.5" customHeight="1" x14ac:dyDescent="0.3">
      <c r="B82" s="137"/>
      <c r="C82"/>
      <c r="D82"/>
      <c r="E82"/>
    </row>
    <row r="83" spans="2:5" ht="22.5" customHeight="1" x14ac:dyDescent="0.3">
      <c r="B83" s="137"/>
      <c r="C83"/>
      <c r="D83"/>
      <c r="E83"/>
    </row>
    <row r="84" spans="2:5" ht="22.5" customHeight="1" x14ac:dyDescent="0.3">
      <c r="B84" s="137"/>
      <c r="C84"/>
      <c r="D84"/>
      <c r="E84"/>
    </row>
    <row r="85" spans="2:5" ht="22.5" customHeight="1" x14ac:dyDescent="0.3">
      <c r="B85" s="137"/>
      <c r="C85"/>
      <c r="D85"/>
      <c r="E85"/>
    </row>
    <row r="86" spans="2:5" ht="22.5" customHeight="1" x14ac:dyDescent="0.3">
      <c r="B86" s="137"/>
      <c r="C86"/>
      <c r="D86"/>
      <c r="E86"/>
    </row>
    <row r="87" spans="2:5" ht="22.5" customHeight="1" x14ac:dyDescent="0.3">
      <c r="B87" s="137"/>
      <c r="C87"/>
      <c r="D87"/>
      <c r="E87"/>
    </row>
    <row r="88" spans="2:5" ht="22.5" customHeight="1" x14ac:dyDescent="0.3">
      <c r="B88" s="137"/>
      <c r="C88"/>
      <c r="D88"/>
      <c r="E88"/>
    </row>
    <row r="89" spans="2:5" ht="22.5" customHeight="1" x14ac:dyDescent="0.3">
      <c r="B89" s="137"/>
      <c r="C89"/>
      <c r="D89"/>
      <c r="E89"/>
    </row>
    <row r="90" spans="2:5" ht="22.5" customHeight="1" x14ac:dyDescent="0.3">
      <c r="B90" s="137"/>
      <c r="C90"/>
      <c r="D90"/>
      <c r="E90"/>
    </row>
    <row r="91" spans="2:5" ht="22.5" customHeight="1" x14ac:dyDescent="0.3">
      <c r="B91" s="137"/>
      <c r="C91"/>
      <c r="D91"/>
      <c r="E91"/>
    </row>
    <row r="92" spans="2:5" ht="22.5" customHeight="1" x14ac:dyDescent="0.3">
      <c r="B92" s="137"/>
      <c r="C92"/>
      <c r="D92"/>
      <c r="E92"/>
    </row>
    <row r="93" spans="2:5" ht="22.5" customHeight="1" x14ac:dyDescent="0.3">
      <c r="B93" s="137"/>
      <c r="C93"/>
      <c r="D93"/>
      <c r="E93"/>
    </row>
    <row r="94" spans="2:5" ht="22.5" customHeight="1" x14ac:dyDescent="0.3">
      <c r="B94" s="137"/>
      <c r="C94"/>
      <c r="D94"/>
      <c r="E94"/>
    </row>
    <row r="95" spans="2:5" ht="22.5" customHeight="1" x14ac:dyDescent="0.3">
      <c r="B95" s="137"/>
      <c r="C95"/>
      <c r="D95"/>
      <c r="E95"/>
    </row>
    <row r="96" spans="2:5" ht="22.5" customHeight="1" x14ac:dyDescent="0.3">
      <c r="B96" s="137"/>
      <c r="C96"/>
      <c r="D96"/>
      <c r="E96"/>
    </row>
    <row r="97" spans="2:5" ht="22.5" customHeight="1" x14ac:dyDescent="0.3">
      <c r="B97" s="137"/>
      <c r="C97"/>
      <c r="D97"/>
      <c r="E97"/>
    </row>
    <row r="98" spans="2:5" ht="22.5" customHeight="1" x14ac:dyDescent="0.3">
      <c r="B98" s="137"/>
      <c r="C98"/>
      <c r="D98"/>
      <c r="E98"/>
    </row>
    <row r="99" spans="2:5" ht="22.5" customHeight="1" x14ac:dyDescent="0.3">
      <c r="B99" s="137"/>
      <c r="C99"/>
      <c r="D99"/>
      <c r="E99"/>
    </row>
    <row r="100" spans="2:5" ht="22.5" customHeight="1" x14ac:dyDescent="0.3">
      <c r="B100" s="137"/>
      <c r="C100"/>
      <c r="D100"/>
      <c r="E100"/>
    </row>
    <row r="101" spans="2:5" ht="22.5" customHeight="1" x14ac:dyDescent="0.3">
      <c r="B101" s="137"/>
      <c r="C101"/>
      <c r="D101"/>
      <c r="E101"/>
    </row>
    <row r="102" spans="2:5" ht="22.5" customHeight="1" x14ac:dyDescent="0.3">
      <c r="B102" s="137"/>
      <c r="C102"/>
      <c r="D102"/>
      <c r="E102"/>
    </row>
    <row r="103" spans="2:5" ht="22.5" customHeight="1" x14ac:dyDescent="0.3">
      <c r="B103" s="137"/>
      <c r="C103"/>
      <c r="D103"/>
      <c r="E103"/>
    </row>
    <row r="104" spans="2:5" ht="22.5" customHeight="1" x14ac:dyDescent="0.3">
      <c r="B104" s="137"/>
      <c r="C104"/>
      <c r="D104"/>
      <c r="E104"/>
    </row>
    <row r="105" spans="2:5" ht="22.5" customHeight="1" x14ac:dyDescent="0.3">
      <c r="B105" s="137"/>
      <c r="C105"/>
      <c r="D105"/>
      <c r="E105"/>
    </row>
    <row r="106" spans="2:5" ht="22.5" customHeight="1" x14ac:dyDescent="0.3">
      <c r="B106" s="137"/>
      <c r="C106"/>
      <c r="D106"/>
      <c r="E106"/>
    </row>
    <row r="107" spans="2:5" ht="22.5" customHeight="1" x14ac:dyDescent="0.3">
      <c r="B107" s="137"/>
      <c r="C107"/>
      <c r="D107"/>
      <c r="E107"/>
    </row>
    <row r="108" spans="2:5" ht="22.5" customHeight="1" x14ac:dyDescent="0.3">
      <c r="B108" s="137"/>
      <c r="C108"/>
      <c r="D108"/>
      <c r="E108"/>
    </row>
    <row r="109" spans="2:5" ht="22.5" customHeight="1" x14ac:dyDescent="0.3">
      <c r="B109" s="137"/>
      <c r="C109"/>
      <c r="D109"/>
      <c r="E109"/>
    </row>
    <row r="110" spans="2:5" ht="22.5" customHeight="1" x14ac:dyDescent="0.3">
      <c r="B110" s="137"/>
      <c r="C110"/>
      <c r="D110"/>
      <c r="E110"/>
    </row>
    <row r="111" spans="2:5" ht="22.5" customHeight="1" x14ac:dyDescent="0.3">
      <c r="B111" s="137"/>
      <c r="C111"/>
      <c r="D111"/>
      <c r="E111"/>
    </row>
    <row r="112" spans="2:5" ht="22.5" customHeight="1" x14ac:dyDescent="0.3">
      <c r="B112" s="137"/>
      <c r="C112"/>
      <c r="D112"/>
      <c r="E112"/>
    </row>
    <row r="113" spans="2:5" ht="22.5" customHeight="1" x14ac:dyDescent="0.3">
      <c r="B113" s="137"/>
      <c r="C113"/>
      <c r="D113"/>
      <c r="E113"/>
    </row>
    <row r="114" spans="2:5" ht="22.5" customHeight="1" x14ac:dyDescent="0.3">
      <c r="B114" s="137"/>
      <c r="C114"/>
      <c r="D114"/>
      <c r="E114"/>
    </row>
    <row r="115" spans="2:5" ht="22.5" customHeight="1" x14ac:dyDescent="0.3">
      <c r="B115" s="137"/>
      <c r="C115"/>
      <c r="D115"/>
      <c r="E115"/>
    </row>
    <row r="116" spans="2:5" ht="22.5" customHeight="1" x14ac:dyDescent="0.3">
      <c r="B116" s="137"/>
      <c r="C116"/>
      <c r="D116"/>
      <c r="E116"/>
    </row>
    <row r="117" spans="2:5" ht="22.5" customHeight="1" x14ac:dyDescent="0.3">
      <c r="B117" s="137"/>
      <c r="C117"/>
      <c r="D117"/>
      <c r="E117"/>
    </row>
    <row r="118" spans="2:5" ht="22.5" customHeight="1" x14ac:dyDescent="0.3">
      <c r="B118" s="137"/>
      <c r="C118"/>
      <c r="D118"/>
      <c r="E118"/>
    </row>
    <row r="119" spans="2:5" ht="22.5" customHeight="1" x14ac:dyDescent="0.3">
      <c r="B119" s="137"/>
      <c r="C119"/>
      <c r="D119"/>
      <c r="E119"/>
    </row>
    <row r="120" spans="2:5" ht="22.5" customHeight="1" x14ac:dyDescent="0.3">
      <c r="B120" s="137"/>
      <c r="C120"/>
      <c r="D120"/>
      <c r="E120"/>
    </row>
    <row r="121" spans="2:5" ht="22.5" customHeight="1" x14ac:dyDescent="0.3">
      <c r="B121" s="137"/>
      <c r="C121"/>
      <c r="D121"/>
      <c r="E121"/>
    </row>
    <row r="122" spans="2:5" ht="22.5" customHeight="1" x14ac:dyDescent="0.3">
      <c r="B122" s="137"/>
      <c r="C122"/>
      <c r="D122"/>
      <c r="E122"/>
    </row>
    <row r="123" spans="2:5" ht="22.5" customHeight="1" x14ac:dyDescent="0.3">
      <c r="B123" s="137"/>
      <c r="C123"/>
      <c r="D123"/>
      <c r="E123"/>
    </row>
    <row r="124" spans="2:5" ht="22.5" customHeight="1" x14ac:dyDescent="0.3">
      <c r="B124" s="137"/>
      <c r="C124"/>
      <c r="D124"/>
      <c r="E124"/>
    </row>
    <row r="125" spans="2:5" ht="22.5" customHeight="1" x14ac:dyDescent="0.3">
      <c r="B125" s="137"/>
      <c r="C125"/>
      <c r="D125"/>
      <c r="E125"/>
    </row>
    <row r="126" spans="2:5" ht="22.5" customHeight="1" x14ac:dyDescent="0.3">
      <c r="B126" s="137"/>
      <c r="C126"/>
      <c r="D126"/>
      <c r="E126"/>
    </row>
    <row r="127" spans="2:5" ht="22.5" customHeight="1" x14ac:dyDescent="0.3">
      <c r="B127" s="137"/>
      <c r="C127"/>
      <c r="D127"/>
      <c r="E127"/>
    </row>
    <row r="128" spans="2:5" ht="22.5" customHeight="1" x14ac:dyDescent="0.3">
      <c r="B128" s="137"/>
      <c r="C128"/>
      <c r="D128"/>
      <c r="E128"/>
    </row>
    <row r="129" spans="2:5" ht="22.5" customHeight="1" x14ac:dyDescent="0.3">
      <c r="B129" s="137"/>
      <c r="C129"/>
      <c r="D129"/>
      <c r="E129"/>
    </row>
    <row r="130" spans="2:5" ht="22.5" customHeight="1" x14ac:dyDescent="0.3">
      <c r="B130" s="137"/>
      <c r="C130"/>
      <c r="D130"/>
      <c r="E130"/>
    </row>
    <row r="131" spans="2:5" ht="22.5" customHeight="1" x14ac:dyDescent="0.3">
      <c r="B131" s="137"/>
      <c r="C131"/>
      <c r="D131"/>
      <c r="E131"/>
    </row>
    <row r="132" spans="2:5" ht="22.5" customHeight="1" x14ac:dyDescent="0.3">
      <c r="B132" s="137"/>
      <c r="C132"/>
      <c r="D132"/>
      <c r="E132"/>
    </row>
    <row r="133" spans="2:5" ht="22.5" customHeight="1" x14ac:dyDescent="0.3">
      <c r="B133" s="137"/>
      <c r="C133"/>
      <c r="D133"/>
      <c r="E133"/>
    </row>
    <row r="134" spans="2:5" ht="22.5" customHeight="1" x14ac:dyDescent="0.3">
      <c r="B134" s="137"/>
      <c r="C134"/>
      <c r="D134"/>
      <c r="E134"/>
    </row>
    <row r="135" spans="2:5" ht="22.5" customHeight="1" x14ac:dyDescent="0.3">
      <c r="B135" s="137"/>
      <c r="C135"/>
      <c r="D135"/>
      <c r="E135"/>
    </row>
    <row r="136" spans="2:5" ht="22.5" customHeight="1" x14ac:dyDescent="0.3">
      <c r="B136" s="137"/>
      <c r="C136"/>
      <c r="D136"/>
      <c r="E136"/>
    </row>
    <row r="137" spans="2:5" ht="22.5" customHeight="1" x14ac:dyDescent="0.3">
      <c r="B137" s="137"/>
      <c r="C137"/>
      <c r="D137"/>
      <c r="E137"/>
    </row>
    <row r="138" spans="2:5" ht="22.5" customHeight="1" x14ac:dyDescent="0.3">
      <c r="B138" s="137"/>
      <c r="C138"/>
      <c r="D138"/>
      <c r="E138"/>
    </row>
    <row r="139" spans="2:5" ht="22.5" customHeight="1" x14ac:dyDescent="0.3">
      <c r="B139" s="137"/>
      <c r="C139"/>
      <c r="D139"/>
      <c r="E139"/>
    </row>
    <row r="140" spans="2:5" ht="22.5" customHeight="1" x14ac:dyDescent="0.3">
      <c r="B140" s="137"/>
      <c r="C140"/>
      <c r="D140"/>
      <c r="E140"/>
    </row>
    <row r="141" spans="2:5" ht="22.5" customHeight="1" x14ac:dyDescent="0.3">
      <c r="B141" s="137"/>
      <c r="C141"/>
      <c r="D141"/>
      <c r="E141"/>
    </row>
    <row r="142" spans="2:5" ht="22.5" customHeight="1" x14ac:dyDescent="0.3">
      <c r="B142" s="137"/>
      <c r="C142"/>
      <c r="D142"/>
      <c r="E142"/>
    </row>
    <row r="143" spans="2:5" ht="22.5" customHeight="1" x14ac:dyDescent="0.3">
      <c r="B143" s="137"/>
      <c r="C143"/>
      <c r="D143"/>
      <c r="E143"/>
    </row>
    <row r="144" spans="2:5" ht="22.5" customHeight="1" x14ac:dyDescent="0.3">
      <c r="B144" s="137"/>
      <c r="C144"/>
      <c r="D144"/>
      <c r="E144"/>
    </row>
    <row r="145" spans="2:5" ht="22.5" customHeight="1" x14ac:dyDescent="0.3">
      <c r="B145" s="137"/>
      <c r="C145"/>
      <c r="D145"/>
      <c r="E145"/>
    </row>
    <row r="146" spans="2:5" ht="22.5" customHeight="1" x14ac:dyDescent="0.3">
      <c r="B146" s="137"/>
      <c r="C146"/>
      <c r="D146"/>
      <c r="E146"/>
    </row>
    <row r="147" spans="2:5" ht="22.5" customHeight="1" x14ac:dyDescent="0.3">
      <c r="B147" s="137"/>
      <c r="C147"/>
      <c r="D147"/>
      <c r="E147"/>
    </row>
    <row r="148" spans="2:5" ht="22.5" customHeight="1" x14ac:dyDescent="0.3">
      <c r="B148" s="137"/>
      <c r="C148"/>
      <c r="D148"/>
      <c r="E148"/>
    </row>
    <row r="149" spans="2:5" ht="22.5" customHeight="1" x14ac:dyDescent="0.3">
      <c r="B149" s="137"/>
      <c r="C149"/>
      <c r="D149"/>
      <c r="E149"/>
    </row>
    <row r="150" spans="2:5" ht="22.5" customHeight="1" x14ac:dyDescent="0.3">
      <c r="B150" s="137"/>
      <c r="C150"/>
      <c r="D150"/>
      <c r="E150"/>
    </row>
    <row r="151" spans="2:5" ht="22.5" customHeight="1" x14ac:dyDescent="0.3">
      <c r="B151" s="137"/>
      <c r="C151"/>
      <c r="D151"/>
      <c r="E151"/>
    </row>
    <row r="152" spans="2:5" ht="22.5" customHeight="1" x14ac:dyDescent="0.3">
      <c r="B152" s="137"/>
      <c r="C152"/>
      <c r="D152"/>
      <c r="E152"/>
    </row>
    <row r="153" spans="2:5" ht="22.5" customHeight="1" x14ac:dyDescent="0.3">
      <c r="B153" s="137"/>
      <c r="C153"/>
      <c r="D153"/>
      <c r="E153"/>
    </row>
    <row r="154" spans="2:5" ht="22.5" customHeight="1" x14ac:dyDescent="0.3">
      <c r="B154" s="137"/>
      <c r="C154"/>
      <c r="D154"/>
      <c r="E154"/>
    </row>
    <row r="155" spans="2:5" ht="22.5" customHeight="1" x14ac:dyDescent="0.3">
      <c r="B155" s="137"/>
      <c r="C155"/>
      <c r="D155"/>
      <c r="E155"/>
    </row>
    <row r="156" spans="2:5" ht="22.5" customHeight="1" x14ac:dyDescent="0.3">
      <c r="B156" s="137"/>
      <c r="C156"/>
      <c r="D156"/>
      <c r="E156"/>
    </row>
    <row r="157" spans="2:5" ht="22.5" customHeight="1" x14ac:dyDescent="0.3">
      <c r="B157" s="137"/>
      <c r="C157"/>
      <c r="D157"/>
      <c r="E157"/>
    </row>
    <row r="158" spans="2:5" ht="22.5" customHeight="1" x14ac:dyDescent="0.3">
      <c r="B158" s="137"/>
      <c r="C158"/>
      <c r="D158"/>
      <c r="E158"/>
    </row>
    <row r="159" spans="2:5" ht="22.5" customHeight="1" x14ac:dyDescent="0.3">
      <c r="B159" s="137"/>
      <c r="C159"/>
      <c r="D159"/>
      <c r="E159"/>
    </row>
    <row r="160" spans="2:5" ht="22.5" customHeight="1" x14ac:dyDescent="0.3">
      <c r="B160" s="137"/>
      <c r="C160"/>
      <c r="D160"/>
      <c r="E160"/>
    </row>
    <row r="161" spans="2:5" ht="22.5" customHeight="1" x14ac:dyDescent="0.3">
      <c r="B161" s="137"/>
      <c r="C161"/>
      <c r="D161"/>
      <c r="E161"/>
    </row>
    <row r="162" spans="2:5" ht="22.5" customHeight="1" x14ac:dyDescent="0.3">
      <c r="B162" s="137"/>
      <c r="C162"/>
      <c r="D162"/>
      <c r="E162"/>
    </row>
    <row r="163" spans="2:5" ht="22.5" customHeight="1" x14ac:dyDescent="0.3">
      <c r="B163" s="137"/>
      <c r="C163"/>
      <c r="D163"/>
      <c r="E163"/>
    </row>
    <row r="164" spans="2:5" ht="22.5" customHeight="1" x14ac:dyDescent="0.3">
      <c r="B164" s="137"/>
      <c r="C164"/>
      <c r="D164"/>
      <c r="E164"/>
    </row>
    <row r="165" spans="2:5" ht="22.5" customHeight="1" x14ac:dyDescent="0.3">
      <c r="B165" s="137"/>
      <c r="C165"/>
      <c r="D165"/>
      <c r="E165"/>
    </row>
    <row r="166" spans="2:5" ht="22.5" customHeight="1" x14ac:dyDescent="0.3">
      <c r="B166" s="137"/>
      <c r="C166"/>
      <c r="D166"/>
      <c r="E166"/>
    </row>
    <row r="167" spans="2:5" ht="22.5" customHeight="1" x14ac:dyDescent="0.3">
      <c r="B167" s="137"/>
      <c r="C167"/>
      <c r="D167"/>
      <c r="E167"/>
    </row>
    <row r="168" spans="2:5" ht="22.5" customHeight="1" x14ac:dyDescent="0.3">
      <c r="B168" s="137"/>
      <c r="C168"/>
      <c r="D168"/>
      <c r="E168"/>
    </row>
    <row r="169" spans="2:5" ht="22.5" customHeight="1" x14ac:dyDescent="0.3">
      <c r="B169" s="137"/>
      <c r="C169"/>
      <c r="D169"/>
      <c r="E169"/>
    </row>
    <row r="170" spans="2:5" ht="22.5" customHeight="1" x14ac:dyDescent="0.3">
      <c r="B170" s="137"/>
      <c r="C170"/>
      <c r="D170"/>
      <c r="E170"/>
    </row>
    <row r="171" spans="2:5" ht="22.5" customHeight="1" x14ac:dyDescent="0.3">
      <c r="B171" s="137"/>
      <c r="C171"/>
      <c r="D171"/>
      <c r="E171"/>
    </row>
    <row r="172" spans="2:5" ht="22.5" customHeight="1" x14ac:dyDescent="0.3">
      <c r="B172" s="137"/>
      <c r="C172"/>
      <c r="D172"/>
      <c r="E172"/>
    </row>
    <row r="173" spans="2:5" ht="22.5" customHeight="1" x14ac:dyDescent="0.3">
      <c r="B173" s="137"/>
      <c r="C173"/>
      <c r="D173"/>
      <c r="E173"/>
    </row>
    <row r="174" spans="2:5" ht="22.5" customHeight="1" x14ac:dyDescent="0.3">
      <c r="B174" s="137"/>
      <c r="C174"/>
      <c r="D174"/>
      <c r="E174"/>
    </row>
    <row r="175" spans="2:5" ht="22.5" customHeight="1" x14ac:dyDescent="0.3">
      <c r="B175" s="137"/>
      <c r="C175"/>
      <c r="D175"/>
      <c r="E175"/>
    </row>
    <row r="176" spans="2:5" ht="22.5" customHeight="1" x14ac:dyDescent="0.3">
      <c r="B176" s="137"/>
      <c r="C176"/>
      <c r="D176"/>
      <c r="E176"/>
    </row>
    <row r="177" spans="2:5" ht="22.5" customHeight="1" x14ac:dyDescent="0.3">
      <c r="B177" s="137"/>
      <c r="C177"/>
      <c r="D177"/>
      <c r="E177"/>
    </row>
    <row r="178" spans="2:5" ht="22.5" customHeight="1" x14ac:dyDescent="0.3">
      <c r="B178" s="137"/>
      <c r="C178"/>
      <c r="D178"/>
      <c r="E178"/>
    </row>
    <row r="179" spans="2:5" ht="22.5" customHeight="1" x14ac:dyDescent="0.3">
      <c r="B179" s="137"/>
      <c r="C179"/>
      <c r="D179"/>
      <c r="E179"/>
    </row>
    <row r="180" spans="2:5" ht="22.5" customHeight="1" x14ac:dyDescent="0.3">
      <c r="B180" s="137"/>
      <c r="C180"/>
      <c r="D180"/>
      <c r="E180"/>
    </row>
    <row r="181" spans="2:5" ht="22.5" customHeight="1" x14ac:dyDescent="0.3">
      <c r="B181" s="137"/>
      <c r="C181"/>
      <c r="D181"/>
      <c r="E181"/>
    </row>
    <row r="182" spans="2:5" ht="22.5" customHeight="1" x14ac:dyDescent="0.3">
      <c r="B182" s="137"/>
      <c r="C182"/>
      <c r="D182"/>
      <c r="E182"/>
    </row>
    <row r="183" spans="2:5" ht="22.5" customHeight="1" x14ac:dyDescent="0.3">
      <c r="B183" s="137"/>
      <c r="C183"/>
      <c r="D183"/>
      <c r="E183"/>
    </row>
    <row r="184" spans="2:5" ht="22.5" customHeight="1" x14ac:dyDescent="0.3">
      <c r="B184" s="137"/>
      <c r="C184"/>
      <c r="D184"/>
      <c r="E184"/>
    </row>
    <row r="185" spans="2:5" ht="22.5" customHeight="1" x14ac:dyDescent="0.3">
      <c r="B185" s="137"/>
      <c r="C185"/>
      <c r="D185"/>
      <c r="E185"/>
    </row>
    <row r="186" spans="2:5" ht="22.5" customHeight="1" x14ac:dyDescent="0.3">
      <c r="B186" s="137"/>
      <c r="C186"/>
      <c r="D186"/>
      <c r="E186"/>
    </row>
    <row r="187" spans="2:5" ht="22.5" customHeight="1" x14ac:dyDescent="0.3">
      <c r="B187" s="137"/>
      <c r="C187"/>
      <c r="D187"/>
      <c r="E187"/>
    </row>
    <row r="188" spans="2:5" ht="22.5" customHeight="1" x14ac:dyDescent="0.3">
      <c r="B188" s="137"/>
      <c r="C188"/>
      <c r="D188"/>
      <c r="E188"/>
    </row>
    <row r="189" spans="2:5" ht="22.5" customHeight="1" x14ac:dyDescent="0.3">
      <c r="B189" s="137"/>
      <c r="C189"/>
      <c r="D189"/>
      <c r="E189"/>
    </row>
    <row r="190" spans="2:5" ht="22.5" customHeight="1" x14ac:dyDescent="0.3">
      <c r="B190" s="137"/>
      <c r="C190"/>
      <c r="D190"/>
      <c r="E190"/>
    </row>
    <row r="191" spans="2:5" ht="22.5" customHeight="1" x14ac:dyDescent="0.3">
      <c r="B191" s="137"/>
      <c r="C191"/>
      <c r="D191"/>
      <c r="E191"/>
    </row>
    <row r="192" spans="2:5" ht="22.5" customHeight="1" x14ac:dyDescent="0.3">
      <c r="B192" s="137"/>
      <c r="C192"/>
      <c r="D192"/>
      <c r="E192"/>
    </row>
    <row r="193" spans="2:5" ht="22.5" customHeight="1" x14ac:dyDescent="0.3">
      <c r="B193" s="137"/>
      <c r="C193"/>
      <c r="D193"/>
      <c r="E193"/>
    </row>
    <row r="194" spans="2:5" ht="22.5" customHeight="1" x14ac:dyDescent="0.3">
      <c r="B194" s="137"/>
      <c r="C194"/>
      <c r="D194"/>
      <c r="E194"/>
    </row>
    <row r="195" spans="2:5" ht="22.5" customHeight="1" x14ac:dyDescent="0.3">
      <c r="B195" s="137"/>
      <c r="C195"/>
      <c r="D195"/>
      <c r="E195"/>
    </row>
    <row r="196" spans="2:5" ht="22.5" customHeight="1" x14ac:dyDescent="0.3">
      <c r="B196" s="137"/>
      <c r="C196"/>
      <c r="D196"/>
      <c r="E196"/>
    </row>
    <row r="197" spans="2:5" ht="22.5" customHeight="1" x14ac:dyDescent="0.3">
      <c r="B197" s="137"/>
      <c r="C197"/>
      <c r="D197"/>
      <c r="E197"/>
    </row>
    <row r="198" spans="2:5" ht="22.5" customHeight="1" x14ac:dyDescent="0.3">
      <c r="B198" s="137"/>
      <c r="C198"/>
      <c r="D198"/>
      <c r="E198"/>
    </row>
    <row r="199" spans="2:5" ht="22.5" customHeight="1" x14ac:dyDescent="0.3">
      <c r="B199" s="137"/>
      <c r="C199"/>
      <c r="D199"/>
      <c r="E199"/>
    </row>
    <row r="200" spans="2:5" ht="22.5" customHeight="1" x14ac:dyDescent="0.3">
      <c r="B200" s="137"/>
      <c r="C200"/>
      <c r="D200"/>
      <c r="E200"/>
    </row>
    <row r="201" spans="2:5" ht="22.5" customHeight="1" x14ac:dyDescent="0.3">
      <c r="B201" s="137"/>
      <c r="C201"/>
      <c r="D201"/>
      <c r="E201"/>
    </row>
    <row r="202" spans="2:5" ht="22.5" customHeight="1" x14ac:dyDescent="0.3">
      <c r="B202" s="137"/>
      <c r="C202"/>
      <c r="D202"/>
      <c r="E202"/>
    </row>
    <row r="203" spans="2:5" ht="22.5" customHeight="1" x14ac:dyDescent="0.3">
      <c r="B203" s="137"/>
      <c r="C203"/>
      <c r="D203"/>
      <c r="E203"/>
    </row>
    <row r="204" spans="2:5" ht="22.5" customHeight="1" x14ac:dyDescent="0.3">
      <c r="B204" s="137"/>
      <c r="C204"/>
      <c r="D204"/>
      <c r="E204"/>
    </row>
    <row r="205" spans="2:5" ht="22.5" customHeight="1" x14ac:dyDescent="0.3">
      <c r="B205" s="137"/>
      <c r="C205"/>
      <c r="D205"/>
      <c r="E205"/>
    </row>
    <row r="206" spans="2:5" ht="22.5" customHeight="1" x14ac:dyDescent="0.3">
      <c r="B206" s="137"/>
      <c r="C206"/>
      <c r="D206"/>
      <c r="E206"/>
    </row>
    <row r="207" spans="2:5" ht="22.5" customHeight="1" x14ac:dyDescent="0.3">
      <c r="B207" s="137"/>
      <c r="C207"/>
      <c r="D207"/>
      <c r="E207"/>
    </row>
    <row r="208" spans="2:5" ht="22.5" customHeight="1" x14ac:dyDescent="0.3">
      <c r="B208" s="137"/>
      <c r="C208"/>
      <c r="D208"/>
      <c r="E208"/>
    </row>
    <row r="209" spans="2:5" ht="22.5" customHeight="1" x14ac:dyDescent="0.3">
      <c r="B209" s="137"/>
      <c r="C209"/>
      <c r="D209"/>
      <c r="E209"/>
    </row>
    <row r="210" spans="2:5" ht="22.5" customHeight="1" x14ac:dyDescent="0.3">
      <c r="B210" s="137"/>
      <c r="C210"/>
      <c r="D210"/>
      <c r="E210"/>
    </row>
    <row r="211" spans="2:5" ht="22.5" customHeight="1" x14ac:dyDescent="0.3">
      <c r="B211" s="137"/>
      <c r="C211"/>
      <c r="D211"/>
      <c r="E211"/>
    </row>
    <row r="212" spans="2:5" ht="22.5" customHeight="1" x14ac:dyDescent="0.3">
      <c r="B212" s="137"/>
      <c r="C212"/>
      <c r="D212"/>
      <c r="E212"/>
    </row>
    <row r="213" spans="2:5" ht="22.5" customHeight="1" x14ac:dyDescent="0.3">
      <c r="B213" s="137"/>
      <c r="C213"/>
      <c r="D213"/>
      <c r="E213"/>
    </row>
    <row r="214" spans="2:5" ht="22.5" customHeight="1" x14ac:dyDescent="0.3">
      <c r="B214" s="137"/>
      <c r="C214"/>
      <c r="D214"/>
      <c r="E214"/>
    </row>
    <row r="215" spans="2:5" ht="22.5" customHeight="1" x14ac:dyDescent="0.3">
      <c r="B215" s="137"/>
      <c r="C215"/>
      <c r="D215"/>
      <c r="E215"/>
    </row>
    <row r="216" spans="2:5" ht="22.5" customHeight="1" x14ac:dyDescent="0.3">
      <c r="B216" s="137"/>
      <c r="C216"/>
      <c r="D216"/>
      <c r="E216"/>
    </row>
    <row r="217" spans="2:5" ht="22.5" customHeight="1" x14ac:dyDescent="0.3">
      <c r="B217" s="137"/>
      <c r="C217"/>
      <c r="D217"/>
      <c r="E217"/>
    </row>
    <row r="218" spans="2:5" ht="22.5" customHeight="1" x14ac:dyDescent="0.3">
      <c r="B218" s="137"/>
      <c r="C218"/>
      <c r="D218"/>
      <c r="E218"/>
    </row>
    <row r="219" spans="2:5" ht="22.5" customHeight="1" x14ac:dyDescent="0.3">
      <c r="B219" s="137"/>
      <c r="C219"/>
      <c r="D219"/>
      <c r="E219"/>
    </row>
    <row r="220" spans="2:5" ht="22.5" customHeight="1" x14ac:dyDescent="0.3">
      <c r="B220" s="137"/>
      <c r="C220"/>
      <c r="D220"/>
      <c r="E220"/>
    </row>
    <row r="221" spans="2:5" ht="22.5" customHeight="1" x14ac:dyDescent="0.3">
      <c r="B221" s="137"/>
      <c r="C221"/>
      <c r="D221"/>
      <c r="E221"/>
    </row>
    <row r="222" spans="2:5" ht="22.5" customHeight="1" x14ac:dyDescent="0.3">
      <c r="B222" s="137"/>
      <c r="C222"/>
      <c r="D222"/>
      <c r="E222"/>
    </row>
    <row r="223" spans="2:5" ht="22.5" customHeight="1" x14ac:dyDescent="0.3">
      <c r="B223" s="137"/>
      <c r="C223"/>
      <c r="D223"/>
      <c r="E223"/>
    </row>
    <row r="224" spans="2:5" ht="22.5" customHeight="1" x14ac:dyDescent="0.3">
      <c r="B224" s="137"/>
      <c r="C224"/>
      <c r="D224"/>
      <c r="E224"/>
    </row>
    <row r="225" spans="2:5" ht="22.5" customHeight="1" x14ac:dyDescent="0.3">
      <c r="B225" s="137"/>
      <c r="C225"/>
      <c r="D225"/>
      <c r="E225"/>
    </row>
    <row r="226" spans="2:5" ht="22.5" customHeight="1" x14ac:dyDescent="0.3">
      <c r="B226" s="137"/>
      <c r="C226"/>
      <c r="D226"/>
      <c r="E226"/>
    </row>
    <row r="227" spans="2:5" ht="22.5" customHeight="1" x14ac:dyDescent="0.3">
      <c r="B227" s="137"/>
      <c r="C227"/>
      <c r="D227"/>
      <c r="E227"/>
    </row>
    <row r="228" spans="2:5" ht="22.5" customHeight="1" x14ac:dyDescent="0.3">
      <c r="B228" s="137"/>
      <c r="C228"/>
      <c r="D228"/>
      <c r="E228"/>
    </row>
    <row r="229" spans="2:5" ht="22.5" customHeight="1" x14ac:dyDescent="0.3">
      <c r="B229" s="137"/>
      <c r="C229"/>
      <c r="D229"/>
      <c r="E229"/>
    </row>
    <row r="230" spans="2:5" ht="22.5" customHeight="1" x14ac:dyDescent="0.3">
      <c r="B230" s="137"/>
      <c r="C230"/>
      <c r="D230"/>
      <c r="E230"/>
    </row>
    <row r="231" spans="2:5" ht="22.5" customHeight="1" x14ac:dyDescent="0.3">
      <c r="B231" s="137"/>
      <c r="C231"/>
      <c r="D231"/>
      <c r="E231"/>
    </row>
    <row r="232" spans="2:5" ht="22.5" customHeight="1" x14ac:dyDescent="0.3">
      <c r="B232" s="137"/>
      <c r="C232"/>
      <c r="D232"/>
      <c r="E232"/>
    </row>
    <row r="233" spans="2:5" ht="22.5" customHeight="1" x14ac:dyDescent="0.3">
      <c r="B233" s="137"/>
      <c r="C233"/>
      <c r="D233"/>
      <c r="E233"/>
    </row>
    <row r="234" spans="2:5" ht="22.5" customHeight="1" x14ac:dyDescent="0.3">
      <c r="B234" s="137"/>
      <c r="C234"/>
      <c r="D234"/>
      <c r="E234"/>
    </row>
    <row r="235" spans="2:5" ht="22.5" customHeight="1" x14ac:dyDescent="0.3">
      <c r="B235" s="137"/>
      <c r="C235"/>
      <c r="D235"/>
      <c r="E235"/>
    </row>
    <row r="236" spans="2:5" ht="22.5" customHeight="1" x14ac:dyDescent="0.3">
      <c r="B236" s="137"/>
      <c r="C236"/>
      <c r="D236"/>
      <c r="E236"/>
    </row>
    <row r="237" spans="2:5" ht="22.5" customHeight="1" x14ac:dyDescent="0.3">
      <c r="B237" s="137"/>
      <c r="C237"/>
      <c r="D237"/>
      <c r="E237"/>
    </row>
    <row r="238" spans="2:5" ht="22.5" customHeight="1" x14ac:dyDescent="0.3">
      <c r="B238" s="137"/>
      <c r="C238"/>
      <c r="D238"/>
      <c r="E238"/>
    </row>
    <row r="239" spans="2:5" ht="22.5" customHeight="1" x14ac:dyDescent="0.3">
      <c r="B239" s="137"/>
      <c r="C239"/>
      <c r="D239"/>
      <c r="E239"/>
    </row>
    <row r="240" spans="2:5" ht="22.5" customHeight="1" x14ac:dyDescent="0.3">
      <c r="B240" s="137"/>
      <c r="C240"/>
      <c r="D240"/>
      <c r="E240"/>
    </row>
    <row r="241" spans="2:5" ht="22.5" customHeight="1" x14ac:dyDescent="0.3">
      <c r="B241" s="137"/>
      <c r="C241"/>
      <c r="D241"/>
      <c r="E241"/>
    </row>
    <row r="242" spans="2:5" ht="22.5" customHeight="1" x14ac:dyDescent="0.3">
      <c r="B242" s="137"/>
      <c r="C242"/>
      <c r="D242"/>
      <c r="E242"/>
    </row>
    <row r="243" spans="2:5" ht="22.5" customHeight="1" x14ac:dyDescent="0.3">
      <c r="B243" s="137"/>
      <c r="C243"/>
      <c r="D243"/>
      <c r="E243"/>
    </row>
    <row r="244" spans="2:5" ht="22.5" customHeight="1" x14ac:dyDescent="0.3">
      <c r="B244" s="137"/>
      <c r="C244"/>
      <c r="D244"/>
      <c r="E244"/>
    </row>
    <row r="245" spans="2:5" ht="22.5" customHeight="1" x14ac:dyDescent="0.3">
      <c r="B245" s="137"/>
      <c r="C245"/>
      <c r="D245"/>
      <c r="E245"/>
    </row>
    <row r="246" spans="2:5" ht="22.5" customHeight="1" x14ac:dyDescent="0.3">
      <c r="B246" s="137"/>
      <c r="C246"/>
      <c r="D246"/>
      <c r="E246"/>
    </row>
    <row r="247" spans="2:5" ht="22.5" customHeight="1" x14ac:dyDescent="0.3">
      <c r="B247" s="137"/>
      <c r="C247"/>
      <c r="D247"/>
      <c r="E247"/>
    </row>
    <row r="248" spans="2:5" ht="22.5" customHeight="1" x14ac:dyDescent="0.3">
      <c r="B248" s="137"/>
      <c r="C248"/>
      <c r="D248"/>
      <c r="E248"/>
    </row>
    <row r="249" spans="2:5" ht="22.5" customHeight="1" x14ac:dyDescent="0.3">
      <c r="B249" s="137"/>
      <c r="C249"/>
      <c r="D249"/>
      <c r="E249"/>
    </row>
    <row r="250" spans="2:5" ht="22.5" customHeight="1" x14ac:dyDescent="0.3">
      <c r="B250" s="137"/>
      <c r="C250"/>
      <c r="D250"/>
      <c r="E250"/>
    </row>
    <row r="251" spans="2:5" ht="22.5" customHeight="1" x14ac:dyDescent="0.3">
      <c r="B251" s="137"/>
      <c r="C251"/>
      <c r="D251"/>
      <c r="E251"/>
    </row>
    <row r="252" spans="2:5" ht="22.5" customHeight="1" x14ac:dyDescent="0.3">
      <c r="B252" s="137"/>
      <c r="C252"/>
      <c r="D252"/>
      <c r="E252"/>
    </row>
    <row r="253" spans="2:5" ht="22.5" customHeight="1" x14ac:dyDescent="0.3">
      <c r="B253" s="137"/>
      <c r="C253"/>
      <c r="D253"/>
      <c r="E253"/>
    </row>
    <row r="254" spans="2:5" ht="22.5" customHeight="1" x14ac:dyDescent="0.3">
      <c r="B254" s="137"/>
      <c r="C254"/>
      <c r="D254"/>
      <c r="E254"/>
    </row>
    <row r="255" spans="2:5" ht="22.5" customHeight="1" x14ac:dyDescent="0.3">
      <c r="B255" s="137"/>
      <c r="C255"/>
      <c r="D255"/>
      <c r="E255"/>
    </row>
    <row r="256" spans="2:5" ht="22.5" customHeight="1" x14ac:dyDescent="0.3">
      <c r="B256" s="137"/>
      <c r="C256"/>
      <c r="D256"/>
      <c r="E256"/>
    </row>
    <row r="257" spans="2:5" ht="22.5" customHeight="1" x14ac:dyDescent="0.3">
      <c r="B257" s="137"/>
      <c r="C257"/>
      <c r="D257"/>
      <c r="E257"/>
    </row>
    <row r="258" spans="2:5" ht="22.5" customHeight="1" x14ac:dyDescent="0.3">
      <c r="B258" s="137"/>
      <c r="C258"/>
      <c r="D258"/>
      <c r="E258"/>
    </row>
    <row r="259" spans="2:5" ht="22.5" customHeight="1" x14ac:dyDescent="0.3">
      <c r="B259" s="137"/>
      <c r="C259"/>
      <c r="D259"/>
      <c r="E259"/>
    </row>
    <row r="260" spans="2:5" ht="22.5" customHeight="1" x14ac:dyDescent="0.3">
      <c r="B260" s="137"/>
      <c r="C260"/>
      <c r="D260"/>
      <c r="E260"/>
    </row>
    <row r="261" spans="2:5" ht="22.5" customHeight="1" x14ac:dyDescent="0.3">
      <c r="B261" s="137"/>
      <c r="C261"/>
      <c r="D261"/>
      <c r="E261"/>
    </row>
    <row r="262" spans="2:5" ht="22.5" customHeight="1" x14ac:dyDescent="0.3">
      <c r="B262" s="137"/>
      <c r="C262"/>
      <c r="D262"/>
      <c r="E262"/>
    </row>
    <row r="263" spans="2:5" ht="22.5" customHeight="1" x14ac:dyDescent="0.3">
      <c r="B263" s="137"/>
      <c r="C263"/>
      <c r="D263"/>
      <c r="E263"/>
    </row>
    <row r="264" spans="2:5" ht="22.5" customHeight="1" x14ac:dyDescent="0.3">
      <c r="B264" s="137"/>
      <c r="C264"/>
      <c r="D264"/>
      <c r="E264"/>
    </row>
    <row r="265" spans="2:5" ht="22.5" customHeight="1" x14ac:dyDescent="0.3">
      <c r="B265" s="137"/>
      <c r="C265"/>
      <c r="D265"/>
      <c r="E265"/>
    </row>
    <row r="266" spans="2:5" ht="22.5" customHeight="1" x14ac:dyDescent="0.3">
      <c r="B266" s="137"/>
      <c r="C266"/>
      <c r="D266"/>
      <c r="E266"/>
    </row>
    <row r="267" spans="2:5" ht="22.5" customHeight="1" x14ac:dyDescent="0.3">
      <c r="B267" s="137"/>
      <c r="C267"/>
      <c r="D267"/>
      <c r="E267"/>
    </row>
    <row r="268" spans="2:5" ht="22.5" customHeight="1" x14ac:dyDescent="0.3">
      <c r="B268" s="137"/>
      <c r="C268"/>
      <c r="D268"/>
      <c r="E268"/>
    </row>
    <row r="269" spans="2:5" ht="22.5" customHeight="1" x14ac:dyDescent="0.3">
      <c r="B269" s="137"/>
      <c r="C269"/>
      <c r="D269"/>
      <c r="E269"/>
    </row>
    <row r="270" spans="2:5" ht="22.5" customHeight="1" x14ac:dyDescent="0.3">
      <c r="B270" s="137"/>
      <c r="C270"/>
      <c r="D270"/>
      <c r="E270"/>
    </row>
    <row r="271" spans="2:5" ht="22.5" customHeight="1" x14ac:dyDescent="0.3">
      <c r="B271" s="137"/>
      <c r="C271"/>
      <c r="D271"/>
      <c r="E271"/>
    </row>
    <row r="272" spans="2:5" ht="22.5" customHeight="1" x14ac:dyDescent="0.3">
      <c r="B272" s="137"/>
      <c r="C272"/>
      <c r="D272"/>
      <c r="E272"/>
    </row>
    <row r="273" spans="2:5" ht="22.5" customHeight="1" x14ac:dyDescent="0.3">
      <c r="B273" s="137"/>
      <c r="C273"/>
      <c r="D273"/>
      <c r="E273"/>
    </row>
    <row r="274" spans="2:5" ht="22.5" customHeight="1" x14ac:dyDescent="0.3">
      <c r="B274" s="137"/>
      <c r="C274"/>
      <c r="D274"/>
      <c r="E274"/>
    </row>
    <row r="275" spans="2:5" ht="22.5" customHeight="1" x14ac:dyDescent="0.3">
      <c r="B275" s="137"/>
      <c r="C275"/>
      <c r="D275"/>
      <c r="E275"/>
    </row>
    <row r="276" spans="2:5" ht="22.5" customHeight="1" x14ac:dyDescent="0.3">
      <c r="B276" s="137"/>
      <c r="C276"/>
      <c r="D276"/>
      <c r="E276"/>
    </row>
    <row r="277" spans="2:5" ht="22.5" customHeight="1" x14ac:dyDescent="0.3">
      <c r="B277" s="137"/>
      <c r="C277"/>
      <c r="D277"/>
      <c r="E277"/>
    </row>
    <row r="278" spans="2:5" ht="22.5" customHeight="1" x14ac:dyDescent="0.3">
      <c r="B278" s="137"/>
      <c r="C278"/>
      <c r="D278"/>
      <c r="E278"/>
    </row>
    <row r="279" spans="2:5" ht="22.5" customHeight="1" x14ac:dyDescent="0.3">
      <c r="B279" s="137"/>
      <c r="C279"/>
      <c r="D279"/>
      <c r="E279"/>
    </row>
    <row r="280" spans="2:5" ht="22.5" customHeight="1" x14ac:dyDescent="0.3">
      <c r="B280" s="137"/>
      <c r="C280"/>
      <c r="D280"/>
      <c r="E280"/>
    </row>
    <row r="281" spans="2:5" ht="22.5" customHeight="1" x14ac:dyDescent="0.3">
      <c r="B281" s="137"/>
      <c r="C281"/>
      <c r="D281"/>
      <c r="E281"/>
    </row>
    <row r="282" spans="2:5" ht="22.5" customHeight="1" x14ac:dyDescent="0.3">
      <c r="B282" s="137"/>
      <c r="C282"/>
      <c r="D282"/>
      <c r="E282"/>
    </row>
    <row r="283" spans="2:5" ht="22.5" customHeight="1" x14ac:dyDescent="0.3">
      <c r="B283" s="137"/>
      <c r="C283"/>
      <c r="D283"/>
      <c r="E283"/>
    </row>
    <row r="284" spans="2:5" ht="22.5" customHeight="1" x14ac:dyDescent="0.3">
      <c r="B284" s="137"/>
      <c r="C284"/>
      <c r="D284"/>
      <c r="E284"/>
    </row>
    <row r="285" spans="2:5" ht="22.5" customHeight="1" x14ac:dyDescent="0.3">
      <c r="B285" s="137"/>
      <c r="C285"/>
      <c r="D285"/>
      <c r="E285"/>
    </row>
    <row r="286" spans="2:5" ht="22.5" customHeight="1" x14ac:dyDescent="0.3">
      <c r="B286" s="137"/>
      <c r="C286"/>
      <c r="D286"/>
      <c r="E286"/>
    </row>
    <row r="287" spans="2:5" ht="22.5" customHeight="1" x14ac:dyDescent="0.3">
      <c r="B287" s="137"/>
      <c r="C287"/>
      <c r="D287"/>
      <c r="E287"/>
    </row>
    <row r="288" spans="2:5" ht="22.5" customHeight="1" x14ac:dyDescent="0.3">
      <c r="B288" s="137"/>
      <c r="C288"/>
      <c r="D288"/>
      <c r="E288"/>
    </row>
    <row r="289" spans="2:5" ht="22.5" customHeight="1" x14ac:dyDescent="0.3">
      <c r="B289" s="137"/>
      <c r="C289"/>
      <c r="D289"/>
      <c r="E289"/>
    </row>
    <row r="290" spans="2:5" ht="22.5" customHeight="1" x14ac:dyDescent="0.3">
      <c r="B290" s="137"/>
      <c r="C290"/>
      <c r="D290"/>
      <c r="E290"/>
    </row>
    <row r="291" spans="2:5" ht="22.5" customHeight="1" x14ac:dyDescent="0.3">
      <c r="B291" s="137"/>
      <c r="C291"/>
      <c r="D291"/>
      <c r="E291"/>
    </row>
    <row r="292" spans="2:5" ht="22.5" customHeight="1" x14ac:dyDescent="0.3">
      <c r="B292" s="137"/>
      <c r="C292"/>
      <c r="D292"/>
      <c r="E292"/>
    </row>
    <row r="293" spans="2:5" ht="22.5" customHeight="1" x14ac:dyDescent="0.3">
      <c r="B293" s="137"/>
      <c r="C293"/>
      <c r="D293"/>
      <c r="E293"/>
    </row>
    <row r="294" spans="2:5" ht="22.5" customHeight="1" x14ac:dyDescent="0.3">
      <c r="B294" s="137"/>
      <c r="C294"/>
      <c r="D294"/>
      <c r="E294"/>
    </row>
    <row r="295" spans="2:5" ht="22.5" customHeight="1" x14ac:dyDescent="0.3">
      <c r="B295" s="137"/>
      <c r="C295"/>
      <c r="D295"/>
      <c r="E295"/>
    </row>
    <row r="296" spans="2:5" ht="22.5" customHeight="1" x14ac:dyDescent="0.3">
      <c r="B296" s="137"/>
      <c r="C296"/>
      <c r="D296"/>
      <c r="E296"/>
    </row>
    <row r="297" spans="2:5" ht="22.5" customHeight="1" x14ac:dyDescent="0.3">
      <c r="B297" s="137"/>
      <c r="C297"/>
      <c r="D297"/>
      <c r="E297"/>
    </row>
    <row r="298" spans="2:5" ht="22.5" customHeight="1" x14ac:dyDescent="0.3">
      <c r="B298" s="137"/>
      <c r="C298"/>
      <c r="D298"/>
      <c r="E298"/>
    </row>
    <row r="299" spans="2:5" ht="22.5" customHeight="1" x14ac:dyDescent="0.3">
      <c r="B299" s="137"/>
      <c r="C299"/>
      <c r="D299"/>
      <c r="E299"/>
    </row>
    <row r="300" spans="2:5" ht="22.5" customHeight="1" x14ac:dyDescent="0.3">
      <c r="B300" s="137"/>
      <c r="C300"/>
      <c r="D300"/>
      <c r="E300"/>
    </row>
    <row r="301" spans="2:5" ht="22.5" customHeight="1" x14ac:dyDescent="0.3">
      <c r="B301" s="137"/>
      <c r="C301"/>
      <c r="D301"/>
      <c r="E301"/>
    </row>
    <row r="302" spans="2:5" ht="22.5" customHeight="1" x14ac:dyDescent="0.3">
      <c r="B302" s="137"/>
      <c r="C302"/>
      <c r="D302"/>
      <c r="E302"/>
    </row>
    <row r="303" spans="2:5" ht="22.5" customHeight="1" x14ac:dyDescent="0.3">
      <c r="B303" s="137"/>
      <c r="C303"/>
      <c r="D303"/>
      <c r="E303"/>
    </row>
    <row r="304" spans="2:5" ht="22.5" customHeight="1" x14ac:dyDescent="0.3">
      <c r="B304" s="137"/>
      <c r="C304"/>
      <c r="D304"/>
      <c r="E304"/>
    </row>
    <row r="305" spans="2:5" ht="22.5" customHeight="1" x14ac:dyDescent="0.3">
      <c r="B305" s="137"/>
      <c r="C305"/>
      <c r="D305"/>
      <c r="E305"/>
    </row>
    <row r="306" spans="2:5" ht="22.5" customHeight="1" x14ac:dyDescent="0.3">
      <c r="B306" s="137"/>
      <c r="C306"/>
      <c r="D306"/>
      <c r="E306"/>
    </row>
    <row r="307" spans="2:5" ht="22.5" customHeight="1" x14ac:dyDescent="0.3">
      <c r="B307" s="137"/>
      <c r="C307"/>
      <c r="D307"/>
      <c r="E307"/>
    </row>
    <row r="308" spans="2:5" ht="22.5" customHeight="1" x14ac:dyDescent="0.3">
      <c r="B308" s="137"/>
      <c r="C308"/>
      <c r="D308"/>
      <c r="E308"/>
    </row>
    <row r="309" spans="2:5" ht="22.5" customHeight="1" x14ac:dyDescent="0.3">
      <c r="B309"/>
      <c r="C309"/>
      <c r="D309"/>
      <c r="E309"/>
    </row>
    <row r="310" spans="2:5" ht="22.5" customHeight="1" x14ac:dyDescent="0.3">
      <c r="B310"/>
      <c r="C310"/>
      <c r="D310"/>
      <c r="E310"/>
    </row>
    <row r="311" spans="2:5" ht="22.5" customHeight="1" x14ac:dyDescent="0.3">
      <c r="B311"/>
      <c r="C311"/>
      <c r="D311"/>
      <c r="E311"/>
    </row>
    <row r="312" spans="2:5" ht="22.5" customHeight="1" x14ac:dyDescent="0.3">
      <c r="B312"/>
      <c r="C312"/>
      <c r="D312"/>
      <c r="E312"/>
    </row>
    <row r="313" spans="2:5" ht="22.5" customHeight="1" x14ac:dyDescent="0.3">
      <c r="B313"/>
      <c r="C313"/>
      <c r="D313"/>
      <c r="E313"/>
    </row>
    <row r="314" spans="2:5" ht="22.5" customHeight="1" x14ac:dyDescent="0.3">
      <c r="B314"/>
      <c r="C314"/>
      <c r="D314"/>
      <c r="E314"/>
    </row>
    <row r="315" spans="2:5" ht="22.5" customHeight="1" x14ac:dyDescent="0.3">
      <c r="B315"/>
      <c r="C315"/>
      <c r="D315"/>
      <c r="E315"/>
    </row>
    <row r="316" spans="2:5" ht="22.5" customHeight="1" x14ac:dyDescent="0.3">
      <c r="B316"/>
      <c r="C316"/>
      <c r="D316"/>
      <c r="E316"/>
    </row>
    <row r="317" spans="2:5" ht="22.5" customHeight="1" x14ac:dyDescent="0.3">
      <c r="B317"/>
      <c r="C317"/>
      <c r="D317"/>
      <c r="E317"/>
    </row>
    <row r="318" spans="2:5" ht="22.5" customHeight="1" x14ac:dyDescent="0.3">
      <c r="B318"/>
      <c r="C318"/>
      <c r="D318"/>
      <c r="E318"/>
    </row>
    <row r="319" spans="2:5" ht="22.5" customHeight="1" x14ac:dyDescent="0.3">
      <c r="B319"/>
      <c r="C319"/>
      <c r="D319"/>
      <c r="E319"/>
    </row>
    <row r="320" spans="2:5" ht="22.5" customHeight="1" x14ac:dyDescent="0.3">
      <c r="B320"/>
      <c r="C320"/>
      <c r="D320"/>
      <c r="E320"/>
    </row>
    <row r="321" spans="2:5" ht="22.5" customHeight="1" x14ac:dyDescent="0.3">
      <c r="B321"/>
      <c r="C321"/>
      <c r="D321"/>
      <c r="E321"/>
    </row>
    <row r="322" spans="2:5" ht="22.5" customHeight="1" x14ac:dyDescent="0.3">
      <c r="B322"/>
      <c r="C322"/>
      <c r="D322"/>
      <c r="E322"/>
    </row>
    <row r="323" spans="2:5" ht="22.5" customHeight="1" x14ac:dyDescent="0.3">
      <c r="B323"/>
      <c r="C323"/>
      <c r="D323"/>
      <c r="E323"/>
    </row>
    <row r="324" spans="2:5" ht="22.5" customHeight="1" x14ac:dyDescent="0.3">
      <c r="B324"/>
      <c r="C324"/>
      <c r="D324"/>
      <c r="E324"/>
    </row>
    <row r="325" spans="2:5" ht="22.5" customHeight="1" x14ac:dyDescent="0.3">
      <c r="B325"/>
      <c r="C325"/>
      <c r="D325"/>
      <c r="E325"/>
    </row>
    <row r="326" spans="2:5" ht="22.5" customHeight="1" x14ac:dyDescent="0.3">
      <c r="B326"/>
      <c r="C326"/>
      <c r="D326"/>
      <c r="E326"/>
    </row>
    <row r="327" spans="2:5" ht="22.5" customHeight="1" x14ac:dyDescent="0.3">
      <c r="B327"/>
      <c r="C327"/>
      <c r="D327"/>
      <c r="E327"/>
    </row>
    <row r="328" spans="2:5" ht="22.5" customHeight="1" x14ac:dyDescent="0.3">
      <c r="B328"/>
      <c r="C328"/>
      <c r="D328"/>
      <c r="E328"/>
    </row>
    <row r="329" spans="2:5" ht="22.5" customHeight="1" x14ac:dyDescent="0.3">
      <c r="B329"/>
      <c r="C329"/>
      <c r="D329"/>
      <c r="E329"/>
    </row>
    <row r="330" spans="2:5" ht="22.5" customHeight="1" x14ac:dyDescent="0.3">
      <c r="B330"/>
      <c r="C330"/>
      <c r="D330"/>
      <c r="E330"/>
    </row>
    <row r="331" spans="2:5" ht="22.5" customHeight="1" x14ac:dyDescent="0.3">
      <c r="B331"/>
      <c r="C331"/>
      <c r="D331"/>
      <c r="E331"/>
    </row>
    <row r="332" spans="2:5" ht="22.5" customHeight="1" x14ac:dyDescent="0.3">
      <c r="B332"/>
      <c r="C332"/>
      <c r="D332"/>
      <c r="E332"/>
    </row>
    <row r="333" spans="2:5" ht="22.5" customHeight="1" x14ac:dyDescent="0.3">
      <c r="B333"/>
      <c r="C333"/>
      <c r="D333"/>
      <c r="E333"/>
    </row>
    <row r="334" spans="2:5" ht="22.5" customHeight="1" x14ac:dyDescent="0.3">
      <c r="B334"/>
      <c r="C334"/>
      <c r="D334"/>
      <c r="E334"/>
    </row>
    <row r="335" spans="2:5" ht="22.5" customHeight="1" x14ac:dyDescent="0.3">
      <c r="B335"/>
      <c r="C335"/>
      <c r="D335"/>
      <c r="E335"/>
    </row>
    <row r="336" spans="2:5" ht="22.5" customHeight="1" x14ac:dyDescent="0.3">
      <c r="B336"/>
      <c r="C336"/>
      <c r="D336"/>
      <c r="E336"/>
    </row>
    <row r="337" spans="2:5" ht="22.5" customHeight="1" x14ac:dyDescent="0.3">
      <c r="B337"/>
      <c r="C337"/>
      <c r="D337"/>
      <c r="E337"/>
    </row>
    <row r="338" spans="2:5" ht="22.5" customHeight="1" x14ac:dyDescent="0.3">
      <c r="B338"/>
      <c r="C338"/>
      <c r="D338"/>
      <c r="E338"/>
    </row>
    <row r="339" spans="2:5" ht="22.5" customHeight="1" x14ac:dyDescent="0.3">
      <c r="B339"/>
      <c r="C339"/>
      <c r="D339"/>
      <c r="E339"/>
    </row>
    <row r="340" spans="2:5" ht="22.5" customHeight="1" x14ac:dyDescent="0.3">
      <c r="B340"/>
      <c r="C340"/>
      <c r="D340"/>
      <c r="E340"/>
    </row>
    <row r="341" spans="2:5" ht="22.5" customHeight="1" x14ac:dyDescent="0.3">
      <c r="B341"/>
      <c r="C341"/>
      <c r="D341"/>
      <c r="E341"/>
    </row>
    <row r="342" spans="2:5" ht="22.5" customHeight="1" x14ac:dyDescent="0.3">
      <c r="B342"/>
      <c r="C342"/>
      <c r="D342"/>
      <c r="E342"/>
    </row>
    <row r="343" spans="2:5" ht="22.5" customHeight="1" x14ac:dyDescent="0.3">
      <c r="B343"/>
      <c r="C343"/>
      <c r="D343"/>
      <c r="E343"/>
    </row>
    <row r="344" spans="2:5" ht="22.5" customHeight="1" x14ac:dyDescent="0.3">
      <c r="B344"/>
      <c r="C344"/>
      <c r="D344"/>
      <c r="E344"/>
    </row>
    <row r="345" spans="2:5" ht="22.5" customHeight="1" x14ac:dyDescent="0.3">
      <c r="B345"/>
      <c r="C345"/>
      <c r="D345"/>
      <c r="E345"/>
    </row>
    <row r="346" spans="2:5" ht="22.5" customHeight="1" x14ac:dyDescent="0.3">
      <c r="B346"/>
      <c r="C346"/>
      <c r="D346"/>
      <c r="E346"/>
    </row>
    <row r="347" spans="2:5" ht="22.5" customHeight="1" x14ac:dyDescent="0.3">
      <c r="B347"/>
      <c r="C347"/>
      <c r="D347"/>
      <c r="E347"/>
    </row>
    <row r="348" spans="2:5" ht="22.5" customHeight="1" x14ac:dyDescent="0.3">
      <c r="B348"/>
      <c r="C348"/>
      <c r="D348"/>
      <c r="E348"/>
    </row>
    <row r="349" spans="2:5" ht="22.5" customHeight="1" x14ac:dyDescent="0.3">
      <c r="B349"/>
      <c r="C349"/>
      <c r="D349"/>
      <c r="E349"/>
    </row>
    <row r="350" spans="2:5" ht="22.5" customHeight="1" x14ac:dyDescent="0.3">
      <c r="B350"/>
      <c r="C350"/>
      <c r="D350"/>
      <c r="E350"/>
    </row>
    <row r="351" spans="2:5" ht="22.5" customHeight="1" x14ac:dyDescent="0.3">
      <c r="B351"/>
      <c r="C351"/>
      <c r="D351"/>
      <c r="E351"/>
    </row>
    <row r="352" spans="2:5" ht="22.5" customHeight="1" x14ac:dyDescent="0.3">
      <c r="B352"/>
      <c r="C352"/>
      <c r="D352"/>
      <c r="E352"/>
    </row>
    <row r="353" spans="2:5" ht="22.5" customHeight="1" x14ac:dyDescent="0.3">
      <c r="B353"/>
      <c r="C353"/>
      <c r="D353"/>
      <c r="E353"/>
    </row>
    <row r="354" spans="2:5" ht="22.5" customHeight="1" x14ac:dyDescent="0.3">
      <c r="B354"/>
      <c r="C354"/>
      <c r="D354"/>
      <c r="E354"/>
    </row>
    <row r="355" spans="2:5" ht="22.5" customHeight="1" x14ac:dyDescent="0.3">
      <c r="B355"/>
      <c r="C355"/>
      <c r="D355"/>
      <c r="E355"/>
    </row>
    <row r="356" spans="2:5" ht="22.5" customHeight="1" x14ac:dyDescent="0.3">
      <c r="B356"/>
      <c r="C356"/>
      <c r="D356"/>
      <c r="E356"/>
    </row>
    <row r="357" spans="2:5" ht="22.5" customHeight="1" x14ac:dyDescent="0.3">
      <c r="B357"/>
      <c r="C357"/>
      <c r="D357"/>
      <c r="E357"/>
    </row>
    <row r="358" spans="2:5" ht="22.5" customHeight="1" x14ac:dyDescent="0.3">
      <c r="B358"/>
      <c r="C358"/>
      <c r="D358"/>
      <c r="E358"/>
    </row>
    <row r="359" spans="2:5" ht="22.5" customHeight="1" x14ac:dyDescent="0.3">
      <c r="B359"/>
      <c r="C359"/>
      <c r="D359"/>
      <c r="E359"/>
    </row>
    <row r="360" spans="2:5" ht="22.5" customHeight="1" x14ac:dyDescent="0.3">
      <c r="B360"/>
      <c r="C360"/>
      <c r="D360"/>
      <c r="E360"/>
    </row>
    <row r="361" spans="2:5" ht="22.5" customHeight="1" x14ac:dyDescent="0.3">
      <c r="B361"/>
      <c r="C361"/>
      <c r="D361"/>
      <c r="E361"/>
    </row>
    <row r="362" spans="2:5" ht="22.5" customHeight="1" x14ac:dyDescent="0.3">
      <c r="B362"/>
      <c r="C362"/>
      <c r="D362"/>
      <c r="E362"/>
    </row>
    <row r="363" spans="2:5" ht="22.5" customHeight="1" x14ac:dyDescent="0.3">
      <c r="B363"/>
      <c r="C363"/>
      <c r="D363"/>
      <c r="E363"/>
    </row>
    <row r="364" spans="2:5" ht="22.5" customHeight="1" x14ac:dyDescent="0.3">
      <c r="B364"/>
      <c r="C364"/>
      <c r="D364"/>
      <c r="E364"/>
    </row>
    <row r="365" spans="2:5" ht="22.5" customHeight="1" x14ac:dyDescent="0.3">
      <c r="B365"/>
      <c r="C365"/>
      <c r="D365"/>
      <c r="E365"/>
    </row>
    <row r="366" spans="2:5" ht="22.5" customHeight="1" x14ac:dyDescent="0.3">
      <c r="B366"/>
      <c r="C366"/>
      <c r="D366"/>
      <c r="E366"/>
    </row>
    <row r="367" spans="2:5" ht="22.5" customHeight="1" x14ac:dyDescent="0.3">
      <c r="B367"/>
      <c r="C367"/>
      <c r="D367"/>
      <c r="E367"/>
    </row>
    <row r="368" spans="2:5" ht="22.5" customHeight="1" x14ac:dyDescent="0.3">
      <c r="B368"/>
      <c r="C368"/>
      <c r="D368"/>
      <c r="E368"/>
    </row>
    <row r="369" spans="2:5" ht="22.5" customHeight="1" x14ac:dyDescent="0.3">
      <c r="B369"/>
      <c r="C369"/>
      <c r="D369"/>
      <c r="E369"/>
    </row>
    <row r="370" spans="2:5" ht="22.5" customHeight="1" x14ac:dyDescent="0.3">
      <c r="B370"/>
      <c r="C370"/>
      <c r="D370"/>
      <c r="E370"/>
    </row>
    <row r="371" spans="2:5" ht="22.5" customHeight="1" x14ac:dyDescent="0.3">
      <c r="B371"/>
      <c r="C371"/>
      <c r="D371"/>
      <c r="E371"/>
    </row>
    <row r="372" spans="2:5" ht="22.5" customHeight="1" x14ac:dyDescent="0.3">
      <c r="B372"/>
      <c r="C372"/>
      <c r="D372"/>
      <c r="E372"/>
    </row>
    <row r="373" spans="2:5" ht="22.5" customHeight="1" x14ac:dyDescent="0.3">
      <c r="B373"/>
      <c r="C373"/>
      <c r="D373"/>
      <c r="E373"/>
    </row>
    <row r="374" spans="2:5" ht="22.5" customHeight="1" x14ac:dyDescent="0.3">
      <c r="C374"/>
      <c r="D374"/>
      <c r="E374"/>
    </row>
    <row r="375" spans="2:5" ht="22.5" customHeight="1" x14ac:dyDescent="0.3">
      <c r="C375"/>
      <c r="D375"/>
      <c r="E375"/>
    </row>
    <row r="376" spans="2:5" ht="22.5" customHeight="1" x14ac:dyDescent="0.3">
      <c r="C376"/>
      <c r="D376"/>
      <c r="E376"/>
    </row>
    <row r="377" spans="2:5" ht="22.5" customHeight="1" x14ac:dyDescent="0.3">
      <c r="C377"/>
      <c r="D377"/>
      <c r="E377"/>
    </row>
    <row r="378" spans="2:5" ht="22.5" customHeight="1" x14ac:dyDescent="0.3">
      <c r="C378"/>
      <c r="D378"/>
      <c r="E378"/>
    </row>
    <row r="379" spans="2:5" ht="22.5" customHeight="1" x14ac:dyDescent="0.3">
      <c r="C379"/>
      <c r="D379"/>
      <c r="E379"/>
    </row>
  </sheetData>
  <mergeCells count="2">
    <mergeCell ref="A2:G2"/>
    <mergeCell ref="A1:M1"/>
  </mergeCells>
  <conditionalFormatting sqref="B1:B1048576">
    <cfRule type="duplicateValues" dxfId="134" priority="1"/>
  </conditionalFormatting>
  <conditionalFormatting sqref="B48:B1048576 B1:B23">
    <cfRule type="duplicateValues" dxfId="133" priority="11"/>
    <cfRule type="duplicateValues" dxfId="132" priority="5357"/>
    <cfRule type="duplicateValues" dxfId="131" priority="5358"/>
    <cfRule type="duplicateValues" dxfId="130" priority="5359"/>
    <cfRule type="duplicateValues" dxfId="129" priority="5360"/>
    <cfRule type="duplicateValues" dxfId="128" priority="5361"/>
  </conditionalFormatting>
  <conditionalFormatting sqref="B48:B1048576 B1:B24">
    <cfRule type="duplicateValues" dxfId="127" priority="5372"/>
  </conditionalFormatting>
  <conditionalFormatting sqref="B48:B1048576">
    <cfRule type="duplicateValues" dxfId="126" priority="10"/>
    <cfRule type="duplicateValues" dxfId="125" priority="13"/>
    <cfRule type="duplicateValues" dxfId="124" priority="14"/>
    <cfRule type="duplicateValues" dxfId="123" priority="5375"/>
  </conditionalFormatting>
  <conditionalFormatting sqref="B49:B1048576 B1:B23">
    <cfRule type="duplicateValues" dxfId="122" priority="16"/>
    <cfRule type="duplicateValues" dxfId="121" priority="17"/>
    <cfRule type="duplicateValues" dxfId="120" priority="32"/>
    <cfRule type="duplicateValues" dxfId="119" priority="33"/>
    <cfRule type="duplicateValues" dxfId="118" priority="34"/>
    <cfRule type="duplicateValues" dxfId="117" priority="35"/>
    <cfRule type="duplicateValues" dxfId="116" priority="36"/>
    <cfRule type="duplicateValues" dxfId="115" priority="37"/>
    <cfRule type="duplicateValues" dxfId="114" priority="46"/>
    <cfRule type="duplicateValues" dxfId="113" priority="47"/>
    <cfRule type="duplicateValues" dxfId="112" priority="4747"/>
    <cfRule type="duplicateValues" dxfId="111" priority="4748"/>
  </conditionalFormatting>
  <conditionalFormatting sqref="B49:B1048576 B2:B3 B22:B23">
    <cfRule type="duplicateValues" dxfId="110" priority="4755"/>
  </conditionalFormatting>
  <conditionalFormatting sqref="B49:B1048576 B3 B22:B23">
    <cfRule type="duplicateValues" dxfId="109" priority="4763"/>
  </conditionalFormatting>
  <conditionalFormatting sqref="B49:B1048576">
    <cfRule type="duplicateValues" dxfId="108" priority="15"/>
    <cfRule type="duplicateValues" dxfId="107" priority="4760"/>
  </conditionalFormatting>
  <conditionalFormatting sqref="C24:C26">
    <cfRule type="duplicateValues" dxfId="106" priority="18"/>
    <cfRule type="duplicateValues" dxfId="105" priority="19"/>
    <cfRule type="duplicateValues" dxfId="104" priority="20"/>
    <cfRule type="duplicateValues" dxfId="103" priority="21"/>
    <cfRule type="duplicateValues" dxfId="102" priority="22"/>
    <cfRule type="duplicateValues" dxfId="101" priority="23"/>
    <cfRule type="duplicateValues" dxfId="100" priority="24"/>
    <cfRule type="duplicateValues" dxfId="99" priority="25"/>
    <cfRule type="duplicateValues" dxfId="98" priority="26"/>
    <cfRule type="duplicateValues" dxfId="97" priority="27"/>
    <cfRule type="duplicateValues" dxfId="96" priority="28"/>
    <cfRule type="duplicateValues" dxfId="95" priority="29"/>
  </conditionalFormatting>
  <conditionalFormatting sqref="D26:E26 B1:B1048576">
    <cfRule type="duplicateValues" dxfId="94" priority="2"/>
  </conditionalFormatting>
  <printOptions horizontalCentered="1"/>
  <pageMargins left="0" right="0" top="0.5" bottom="0" header="0" footer="0"/>
  <pageSetup scale="50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DAA1-A217-40D2-98BD-BD2A117A85B7}">
  <dimension ref="A1:I5"/>
  <sheetViews>
    <sheetView view="pageBreakPreview" zoomScale="102" zoomScaleNormal="87" zoomScaleSheetLayoutView="115" workbookViewId="0">
      <selection activeCell="A5" sqref="A5:XFD5"/>
    </sheetView>
  </sheetViews>
  <sheetFormatPr defaultColWidth="17.44140625" defaultRowHeight="18.75" customHeight="1" x14ac:dyDescent="0.3"/>
  <cols>
    <col min="1" max="1" width="5.88671875" customWidth="1"/>
    <col min="4" max="4" width="14" customWidth="1"/>
    <col min="5" max="5" width="15.77734375" customWidth="1"/>
    <col min="6" max="6" width="8.109375" customWidth="1"/>
    <col min="7" max="7" width="13.88671875" customWidth="1"/>
    <col min="8" max="8" width="22.44140625" customWidth="1"/>
    <col min="9" max="9" width="18.44140625" customWidth="1"/>
  </cols>
  <sheetData>
    <row r="1" spans="1:9" ht="37.5" customHeight="1" x14ac:dyDescent="0.3">
      <c r="A1" s="286" t="s">
        <v>385</v>
      </c>
      <c r="B1" s="287"/>
      <c r="C1" s="287"/>
      <c r="D1" s="287"/>
      <c r="E1" s="287"/>
      <c r="F1" s="287"/>
      <c r="G1" s="287"/>
      <c r="H1" s="287"/>
      <c r="I1" s="287"/>
    </row>
    <row r="2" spans="1:9" ht="11.25" customHeight="1" thickBot="1" x14ac:dyDescent="0.35">
      <c r="A2" s="44"/>
      <c r="B2" s="44"/>
      <c r="C2" s="44"/>
      <c r="D2" s="44"/>
      <c r="E2" s="44"/>
      <c r="F2" s="44"/>
      <c r="G2" s="44"/>
      <c r="H2" s="44"/>
    </row>
    <row r="3" spans="1:9" ht="29.4" customHeight="1" thickTop="1" thickBot="1" x14ac:dyDescent="0.35">
      <c r="A3" s="39" t="s">
        <v>5</v>
      </c>
      <c r="B3" s="39" t="s">
        <v>11</v>
      </c>
      <c r="C3" s="39" t="s">
        <v>65</v>
      </c>
      <c r="D3" s="39" t="s">
        <v>13</v>
      </c>
      <c r="E3" s="39" t="s">
        <v>202</v>
      </c>
      <c r="F3" s="39" t="s">
        <v>3</v>
      </c>
      <c r="G3" s="39" t="s">
        <v>14</v>
      </c>
      <c r="H3" s="210" t="s">
        <v>381</v>
      </c>
      <c r="I3" s="208" t="s">
        <v>266</v>
      </c>
    </row>
    <row r="4" spans="1:9" ht="18.75" customHeight="1" thickTop="1" thickBot="1" x14ac:dyDescent="0.35">
      <c r="A4" s="41">
        <f>ROW()-3</f>
        <v>1</v>
      </c>
      <c r="B4" s="41" t="s">
        <v>272</v>
      </c>
      <c r="C4" s="41" t="s">
        <v>212</v>
      </c>
      <c r="D4" s="41" t="s">
        <v>136</v>
      </c>
      <c r="E4" s="41" t="s">
        <v>240</v>
      </c>
      <c r="F4" s="41">
        <v>373</v>
      </c>
      <c r="G4" s="41">
        <v>0</v>
      </c>
      <c r="H4" s="42">
        <v>57356585</v>
      </c>
      <c r="I4" s="42">
        <v>2867829.25</v>
      </c>
    </row>
    <row r="5" spans="1:9" ht="18.75" customHeight="1" thickTop="1" x14ac:dyDescent="0.3"/>
  </sheetData>
  <mergeCells count="1">
    <mergeCell ref="A1:I1"/>
  </mergeCells>
  <printOptions horizontalCentered="1"/>
  <pageMargins left="0" right="0" top="1" bottom="0" header="0.05" footer="0"/>
  <pageSetup scale="75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28FF-89E4-4D14-968D-7DF5A515A86A}">
  <dimension ref="A1:J5"/>
  <sheetViews>
    <sheetView view="pageBreakPreview" topLeftCell="A3" zoomScale="102" zoomScaleNormal="87" zoomScaleSheetLayoutView="115" workbookViewId="0">
      <selection activeCell="A5" sqref="A5:XFD5"/>
    </sheetView>
  </sheetViews>
  <sheetFormatPr defaultColWidth="17.44140625" defaultRowHeight="18.75" customHeight="1" x14ac:dyDescent="0.3"/>
  <cols>
    <col min="1" max="1" width="5.88671875" customWidth="1"/>
    <col min="4" max="4" width="14" customWidth="1"/>
    <col min="5" max="5" width="24.109375" customWidth="1"/>
    <col min="6" max="6" width="8.109375" customWidth="1"/>
    <col min="7" max="7" width="13.88671875" customWidth="1"/>
    <col min="8" max="8" width="12.44140625" customWidth="1"/>
    <col min="9" max="9" width="20.44140625" customWidth="1"/>
    <col min="10" max="10" width="15.5546875" customWidth="1"/>
  </cols>
  <sheetData>
    <row r="1" spans="1:10" ht="37.5" customHeight="1" x14ac:dyDescent="0.3">
      <c r="A1" s="286" t="s">
        <v>398</v>
      </c>
      <c r="B1" s="287"/>
      <c r="C1" s="287"/>
      <c r="D1" s="287"/>
      <c r="E1" s="287"/>
      <c r="F1" s="287"/>
      <c r="G1" s="287"/>
      <c r="H1" s="287"/>
      <c r="I1" s="287"/>
      <c r="J1" s="287"/>
    </row>
    <row r="2" spans="1:10" ht="11.25" customHeight="1" thickBot="1" x14ac:dyDescent="0.35">
      <c r="A2" s="44"/>
      <c r="B2" s="44"/>
      <c r="C2" s="44"/>
      <c r="D2" s="44"/>
      <c r="E2" s="44"/>
      <c r="F2" s="44"/>
      <c r="G2" s="44"/>
      <c r="H2" s="44"/>
    </row>
    <row r="3" spans="1:10" ht="29.4" customHeight="1" thickTop="1" thickBot="1" x14ac:dyDescent="0.35">
      <c r="A3" s="39" t="s">
        <v>5</v>
      </c>
      <c r="B3" s="39" t="s">
        <v>11</v>
      </c>
      <c r="C3" s="39" t="s">
        <v>65</v>
      </c>
      <c r="D3" s="39" t="s">
        <v>13</v>
      </c>
      <c r="E3" s="39" t="s">
        <v>202</v>
      </c>
      <c r="F3" s="39" t="s">
        <v>3</v>
      </c>
      <c r="G3" s="39" t="s">
        <v>14</v>
      </c>
      <c r="H3" s="39" t="s">
        <v>402</v>
      </c>
      <c r="I3" s="208" t="s">
        <v>381</v>
      </c>
      <c r="J3" s="209" t="s">
        <v>266</v>
      </c>
    </row>
    <row r="4" spans="1:10" ht="21.6" customHeight="1" thickTop="1" thickBot="1" x14ac:dyDescent="0.35">
      <c r="A4" s="41">
        <f>ROW()-3</f>
        <v>1</v>
      </c>
      <c r="B4" s="29" t="s">
        <v>399</v>
      </c>
      <c r="C4" s="29" t="s">
        <v>400</v>
      </c>
      <c r="D4" s="29" t="s">
        <v>119</v>
      </c>
      <c r="E4" s="29" t="s">
        <v>401</v>
      </c>
      <c r="F4" s="29">
        <v>265</v>
      </c>
      <c r="G4" s="29">
        <v>344.9</v>
      </c>
      <c r="H4" s="34">
        <v>0</v>
      </c>
      <c r="I4" s="34">
        <v>46968735.079999998</v>
      </c>
      <c r="J4" s="34">
        <v>2348436.75</v>
      </c>
    </row>
    <row r="5" spans="1:10" ht="18.75" customHeight="1" thickTop="1" x14ac:dyDescent="0.3"/>
  </sheetData>
  <mergeCells count="1">
    <mergeCell ref="A1:J1"/>
  </mergeCells>
  <printOptions horizontalCentered="1"/>
  <pageMargins left="0" right="0" top="1" bottom="0" header="0.05" footer="0"/>
  <pageSetup scale="68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320B-15CF-47D6-B4BA-AC2BFBC05D78}">
  <sheetPr>
    <pageSetUpPr fitToPage="1"/>
  </sheetPr>
  <dimension ref="A1:J17"/>
  <sheetViews>
    <sheetView view="pageBreakPreview" zoomScale="88" zoomScaleNormal="101" workbookViewId="0">
      <selection activeCell="A13" sqref="A13:XFD13"/>
    </sheetView>
  </sheetViews>
  <sheetFormatPr defaultColWidth="13.6640625" defaultRowHeight="22.5" customHeight="1" x14ac:dyDescent="0.3"/>
  <cols>
    <col min="1" max="1" width="5.109375" customWidth="1"/>
    <col min="2" max="2" width="17.88671875" customWidth="1"/>
    <col min="3" max="3" width="11.88671875" customWidth="1"/>
    <col min="4" max="4" width="16" customWidth="1"/>
    <col min="5" max="5" width="11.5546875" customWidth="1"/>
    <col min="6" max="6" width="10.33203125" customWidth="1"/>
    <col min="8" max="8" width="13" customWidth="1"/>
    <col min="9" max="9" width="20.88671875" customWidth="1"/>
  </cols>
  <sheetData>
    <row r="1" spans="1:10" ht="30" customHeight="1" x14ac:dyDescent="0.3">
      <c r="A1" s="288" t="s">
        <v>386</v>
      </c>
      <c r="B1" s="288"/>
      <c r="C1" s="288"/>
      <c r="D1" s="288"/>
      <c r="E1" s="288"/>
      <c r="F1" s="288"/>
      <c r="G1" s="288"/>
      <c r="H1" s="288"/>
      <c r="I1" s="288"/>
      <c r="J1" s="288"/>
    </row>
    <row r="2" spans="1:10" ht="13.5" customHeight="1" thickBot="1" x14ac:dyDescent="0.35">
      <c r="A2" s="283"/>
      <c r="B2" s="283"/>
      <c r="C2" s="283"/>
      <c r="D2" s="283"/>
      <c r="E2" s="283"/>
      <c r="F2" s="283"/>
    </row>
    <row r="3" spans="1:10" s="3" customFormat="1" ht="22.5" customHeight="1" thickTop="1" thickBot="1" x14ac:dyDescent="0.35">
      <c r="A3" s="94" t="s">
        <v>5</v>
      </c>
      <c r="B3" s="94" t="s">
        <v>71</v>
      </c>
      <c r="C3" s="94" t="s">
        <v>387</v>
      </c>
      <c r="D3" s="94" t="s">
        <v>232</v>
      </c>
      <c r="E3" s="94" t="s">
        <v>388</v>
      </c>
      <c r="F3" s="94" t="s">
        <v>13</v>
      </c>
      <c r="G3" s="94" t="s">
        <v>389</v>
      </c>
      <c r="H3" s="94" t="s">
        <v>4</v>
      </c>
      <c r="I3" s="210" t="s">
        <v>381</v>
      </c>
      <c r="J3" s="208" t="s">
        <v>266</v>
      </c>
    </row>
    <row r="4" spans="1:10" ht="19.2" customHeight="1" thickTop="1" thickBot="1" x14ac:dyDescent="0.35">
      <c r="A4" s="29">
        <f>ROW()-3</f>
        <v>1</v>
      </c>
      <c r="B4" s="29" t="s">
        <v>96</v>
      </c>
      <c r="C4" s="29">
        <v>2002</v>
      </c>
      <c r="D4" s="29" t="s">
        <v>279</v>
      </c>
      <c r="E4" s="100">
        <v>12</v>
      </c>
      <c r="F4" s="29" t="s">
        <v>117</v>
      </c>
      <c r="G4" s="34">
        <v>204</v>
      </c>
      <c r="H4" s="34">
        <v>0</v>
      </c>
      <c r="I4" s="34">
        <v>25484518.91</v>
      </c>
      <c r="J4" s="34">
        <v>1274225.95</v>
      </c>
    </row>
    <row r="5" spans="1:10" ht="19.2" customHeight="1" thickTop="1" thickBot="1" x14ac:dyDescent="0.35">
      <c r="A5" s="29">
        <f>ROW()-3</f>
        <v>2</v>
      </c>
      <c r="B5" s="29" t="s">
        <v>273</v>
      </c>
      <c r="C5" s="29">
        <v>2003</v>
      </c>
      <c r="D5" s="29" t="s">
        <v>279</v>
      </c>
      <c r="E5" s="100">
        <v>11</v>
      </c>
      <c r="F5" s="29" t="s">
        <v>117</v>
      </c>
      <c r="G5" s="34">
        <v>204</v>
      </c>
      <c r="H5" s="34">
        <v>0</v>
      </c>
      <c r="I5" s="34">
        <v>26724383.079999998</v>
      </c>
      <c r="J5" s="34">
        <v>1336219.1499999999</v>
      </c>
    </row>
    <row r="6" spans="1:10" ht="19.2" customHeight="1" thickTop="1" thickBot="1" x14ac:dyDescent="0.35">
      <c r="A6" s="29">
        <f>ROW()-3</f>
        <v>3</v>
      </c>
      <c r="B6" s="29" t="s">
        <v>274</v>
      </c>
      <c r="C6" s="29">
        <v>2003</v>
      </c>
      <c r="D6" s="29" t="s">
        <v>279</v>
      </c>
      <c r="E6" s="100">
        <v>12</v>
      </c>
      <c r="F6" s="29" t="s">
        <v>117</v>
      </c>
      <c r="G6" s="34">
        <v>204</v>
      </c>
      <c r="H6" s="34">
        <v>0</v>
      </c>
      <c r="I6" s="34">
        <v>26724383.079999998</v>
      </c>
      <c r="J6" s="34">
        <v>1336219.1499999999</v>
      </c>
    </row>
    <row r="7" spans="1:10" ht="19.2" customHeight="1" thickTop="1" thickBot="1" x14ac:dyDescent="0.35">
      <c r="A7" s="29">
        <f>ROW()-3</f>
        <v>4</v>
      </c>
      <c r="B7" s="29" t="s">
        <v>372</v>
      </c>
      <c r="C7" s="29">
        <v>2003</v>
      </c>
      <c r="D7" s="29" t="s">
        <v>279</v>
      </c>
      <c r="E7" s="100">
        <v>21</v>
      </c>
      <c r="F7" s="29" t="s">
        <v>135</v>
      </c>
      <c r="G7" s="34">
        <v>204</v>
      </c>
      <c r="H7" s="34">
        <v>0</v>
      </c>
      <c r="I7" s="34">
        <v>27560174.850000001</v>
      </c>
      <c r="J7" s="34">
        <v>1378008.74</v>
      </c>
    </row>
    <row r="8" spans="1:10" ht="19.2" customHeight="1" thickTop="1" thickBot="1" x14ac:dyDescent="0.35">
      <c r="A8" s="29">
        <f t="shared" ref="A8:A12" si="0">ROW()-3</f>
        <v>5</v>
      </c>
      <c r="B8" s="29" t="s">
        <v>383</v>
      </c>
      <c r="C8" s="29">
        <v>2005</v>
      </c>
      <c r="D8" s="29" t="s">
        <v>279</v>
      </c>
      <c r="E8" s="100">
        <v>2</v>
      </c>
      <c r="F8" s="29" t="s">
        <v>119</v>
      </c>
      <c r="G8" s="34">
        <v>204</v>
      </c>
      <c r="H8" s="34">
        <v>156.87</v>
      </c>
      <c r="I8" s="34">
        <v>29983770.030000001</v>
      </c>
      <c r="J8" s="34">
        <v>1499188.5</v>
      </c>
    </row>
    <row r="9" spans="1:10" ht="19.2" customHeight="1" thickTop="1" thickBot="1" x14ac:dyDescent="0.35">
      <c r="A9" s="29">
        <f t="shared" si="0"/>
        <v>6</v>
      </c>
      <c r="B9" s="29" t="s">
        <v>275</v>
      </c>
      <c r="C9" s="29">
        <v>2007</v>
      </c>
      <c r="D9" s="29" t="s">
        <v>279</v>
      </c>
      <c r="E9" s="100">
        <v>11</v>
      </c>
      <c r="F9" s="29" t="s">
        <v>117</v>
      </c>
      <c r="G9" s="34">
        <v>204</v>
      </c>
      <c r="H9" s="34">
        <v>0</v>
      </c>
      <c r="I9" s="34">
        <v>25336125.530000001</v>
      </c>
      <c r="J9" s="34">
        <v>1266806.28</v>
      </c>
    </row>
    <row r="10" spans="1:10" ht="19.2" customHeight="1" thickTop="1" thickBot="1" x14ac:dyDescent="0.35">
      <c r="A10" s="29">
        <f t="shared" si="0"/>
        <v>7</v>
      </c>
      <c r="B10" s="29" t="s">
        <v>276</v>
      </c>
      <c r="C10" s="29">
        <v>2007</v>
      </c>
      <c r="D10" s="29" t="s">
        <v>279</v>
      </c>
      <c r="E10" s="100">
        <v>12</v>
      </c>
      <c r="F10" s="29" t="s">
        <v>117</v>
      </c>
      <c r="G10" s="34">
        <v>204</v>
      </c>
      <c r="H10" s="34">
        <v>0</v>
      </c>
      <c r="I10" s="34">
        <v>25336125.530000001</v>
      </c>
      <c r="J10" s="34">
        <v>1266806.28</v>
      </c>
    </row>
    <row r="11" spans="1:10" ht="19.2" customHeight="1" thickTop="1" thickBot="1" x14ac:dyDescent="0.35">
      <c r="A11" s="29">
        <f t="shared" si="0"/>
        <v>8</v>
      </c>
      <c r="B11" s="29" t="s">
        <v>277</v>
      </c>
      <c r="C11" s="29">
        <v>2007</v>
      </c>
      <c r="D11" s="29" t="s">
        <v>279</v>
      </c>
      <c r="E11" s="100">
        <v>21</v>
      </c>
      <c r="F11" s="29" t="s">
        <v>135</v>
      </c>
      <c r="G11" s="34">
        <v>204</v>
      </c>
      <c r="H11" s="34">
        <v>0</v>
      </c>
      <c r="I11" s="34">
        <v>26149063.149999999</v>
      </c>
      <c r="J11" s="34">
        <v>1307453.1599999999</v>
      </c>
    </row>
    <row r="12" spans="1:10" ht="19.2" customHeight="1" thickTop="1" thickBot="1" x14ac:dyDescent="0.35">
      <c r="A12" s="29">
        <f t="shared" si="0"/>
        <v>9</v>
      </c>
      <c r="B12" s="29" t="s">
        <v>278</v>
      </c>
      <c r="C12" s="29">
        <v>2007</v>
      </c>
      <c r="D12" s="29" t="s">
        <v>279</v>
      </c>
      <c r="E12" s="100">
        <v>22</v>
      </c>
      <c r="F12" s="29" t="s">
        <v>135</v>
      </c>
      <c r="G12" s="34">
        <v>204</v>
      </c>
      <c r="H12" s="34">
        <v>0</v>
      </c>
      <c r="I12" s="34">
        <v>26149063.149999999</v>
      </c>
      <c r="J12" s="34">
        <v>1307453.1599999999</v>
      </c>
    </row>
    <row r="13" spans="1:10" ht="22.5" customHeight="1" thickTop="1" x14ac:dyDescent="0.3"/>
    <row r="15" spans="1:10" ht="22.5" customHeight="1" x14ac:dyDescent="0.3">
      <c r="C15" s="81"/>
      <c r="D15" s="82"/>
      <c r="E15" s="83"/>
      <c r="F15" s="80"/>
    </row>
    <row r="16" spans="1:10" ht="22.5" customHeight="1" x14ac:dyDescent="0.3">
      <c r="B16" s="80"/>
      <c r="C16" s="81"/>
      <c r="D16" s="82"/>
      <c r="E16" s="83"/>
      <c r="F16" s="80"/>
    </row>
    <row r="17" spans="2:6" ht="22.5" customHeight="1" x14ac:dyDescent="0.3">
      <c r="B17" s="80"/>
      <c r="C17" s="81"/>
      <c r="D17" s="82"/>
      <c r="E17" s="83"/>
      <c r="F17" s="80"/>
    </row>
  </sheetData>
  <mergeCells count="2">
    <mergeCell ref="A2:F2"/>
    <mergeCell ref="A1:J1"/>
  </mergeCells>
  <conditionalFormatting sqref="B15:B26 B4:B13 A3:J3 B28:B1048576">
    <cfRule type="duplicateValues" dxfId="93" priority="8151"/>
  </conditionalFormatting>
  <conditionalFormatting sqref="B15:B26 B28:B1048576">
    <cfRule type="duplicateValues" dxfId="92" priority="6903"/>
  </conditionalFormatting>
  <pageMargins left="0.25" right="0.25" top="0.75" bottom="0.75" header="0.3" footer="0.3"/>
  <pageSetup scale="77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7A06-A4A4-408C-A866-DB0286AD5739}">
  <sheetPr>
    <pageSetUpPr fitToPage="1"/>
  </sheetPr>
  <dimension ref="A1:J32"/>
  <sheetViews>
    <sheetView view="pageBreakPreview" topLeftCell="A8" zoomScale="88" zoomScaleNormal="101" workbookViewId="0">
      <selection activeCell="A28" sqref="A28:XFD28"/>
    </sheetView>
  </sheetViews>
  <sheetFormatPr defaultColWidth="13.6640625" defaultRowHeight="22.5" customHeight="1" x14ac:dyDescent="0.3"/>
  <cols>
    <col min="1" max="1" width="5.109375" customWidth="1"/>
    <col min="2" max="2" width="17.88671875" customWidth="1"/>
    <col min="3" max="3" width="9.33203125" customWidth="1"/>
    <col min="4" max="4" width="11.44140625" customWidth="1"/>
    <col min="5" max="5" width="11.5546875" customWidth="1"/>
    <col min="6" max="6" width="14.44140625" customWidth="1"/>
    <col min="7" max="7" width="15.5546875" customWidth="1"/>
    <col min="9" max="9" width="26" customWidth="1"/>
    <col min="10" max="10" width="20.88671875" customWidth="1"/>
  </cols>
  <sheetData>
    <row r="1" spans="1:10" ht="30" customHeight="1" x14ac:dyDescent="0.3">
      <c r="A1" s="288" t="s">
        <v>393</v>
      </c>
      <c r="B1" s="288"/>
      <c r="C1" s="288"/>
      <c r="D1" s="288"/>
      <c r="E1" s="288"/>
      <c r="F1" s="288"/>
      <c r="G1" s="288"/>
      <c r="H1" s="288"/>
      <c r="I1" s="288"/>
      <c r="J1" s="288"/>
    </row>
    <row r="2" spans="1:10" ht="13.5" customHeight="1" thickBot="1" x14ac:dyDescent="0.35">
      <c r="A2" s="283"/>
      <c r="B2" s="283"/>
      <c r="C2" s="283"/>
      <c r="D2" s="283"/>
      <c r="E2" s="283"/>
      <c r="F2" s="283"/>
      <c r="G2" s="283"/>
    </row>
    <row r="3" spans="1:10" s="3" customFormat="1" ht="31.8" customHeight="1" thickTop="1" thickBot="1" x14ac:dyDescent="0.35">
      <c r="A3" s="94" t="s">
        <v>5</v>
      </c>
      <c r="B3" s="94" t="s">
        <v>390</v>
      </c>
      <c r="C3" s="94" t="s">
        <v>201</v>
      </c>
      <c r="D3" s="94" t="s">
        <v>188</v>
      </c>
      <c r="E3" s="94" t="s">
        <v>13</v>
      </c>
      <c r="F3" s="94" t="s">
        <v>391</v>
      </c>
      <c r="G3" s="94" t="s">
        <v>392</v>
      </c>
      <c r="H3" s="94" t="s">
        <v>4</v>
      </c>
      <c r="I3" s="210" t="s">
        <v>381</v>
      </c>
      <c r="J3" s="210" t="s">
        <v>266</v>
      </c>
    </row>
    <row r="4" spans="1:10" ht="19.2" customHeight="1" thickTop="1" thickBot="1" x14ac:dyDescent="0.35">
      <c r="A4" s="29">
        <f>ROW()-3</f>
        <v>1</v>
      </c>
      <c r="B4" s="29" t="s">
        <v>101</v>
      </c>
      <c r="C4" s="29">
        <v>8001</v>
      </c>
      <c r="D4" s="29" t="s">
        <v>279</v>
      </c>
      <c r="E4" s="100" t="s">
        <v>119</v>
      </c>
      <c r="F4" s="29" t="s">
        <v>239</v>
      </c>
      <c r="G4" s="34">
        <v>245</v>
      </c>
      <c r="H4" s="34">
        <v>178</v>
      </c>
      <c r="I4" s="34">
        <v>41899598.969999999</v>
      </c>
      <c r="J4" s="34">
        <v>2094979.95</v>
      </c>
    </row>
    <row r="5" spans="1:10" ht="19.2" customHeight="1" thickTop="1" thickBot="1" x14ac:dyDescent="0.35">
      <c r="A5" s="29">
        <f>ROW()-3</f>
        <v>2</v>
      </c>
      <c r="B5" s="29" t="s">
        <v>280</v>
      </c>
      <c r="C5" s="29">
        <v>8001</v>
      </c>
      <c r="D5" s="29" t="s">
        <v>279</v>
      </c>
      <c r="E5" s="100" t="s">
        <v>136</v>
      </c>
      <c r="F5" s="29" t="s">
        <v>240</v>
      </c>
      <c r="G5" s="34">
        <v>348</v>
      </c>
      <c r="H5" s="34">
        <v>0</v>
      </c>
      <c r="I5" s="34">
        <v>54392142.840000004</v>
      </c>
      <c r="J5" s="34">
        <v>2719607.14</v>
      </c>
    </row>
    <row r="6" spans="1:10" ht="19.2" customHeight="1" thickTop="1" thickBot="1" x14ac:dyDescent="0.35">
      <c r="A6" s="29">
        <f>ROW()-3</f>
        <v>3</v>
      </c>
      <c r="B6" s="29" t="s">
        <v>102</v>
      </c>
      <c r="C6" s="29">
        <v>8001</v>
      </c>
      <c r="D6" s="29" t="s">
        <v>281</v>
      </c>
      <c r="E6" s="100" t="s">
        <v>119</v>
      </c>
      <c r="F6" s="29" t="s">
        <v>239</v>
      </c>
      <c r="G6" s="34">
        <v>200</v>
      </c>
      <c r="H6" s="34">
        <v>81</v>
      </c>
      <c r="I6" s="34">
        <v>31846020.120000001</v>
      </c>
      <c r="J6" s="34">
        <v>1592301.01</v>
      </c>
    </row>
    <row r="7" spans="1:10" ht="19.2" customHeight="1" thickTop="1" thickBot="1" x14ac:dyDescent="0.35">
      <c r="A7" s="29">
        <f>ROW()-3</f>
        <v>4</v>
      </c>
      <c r="B7" s="29" t="s">
        <v>103</v>
      </c>
      <c r="C7" s="29">
        <v>8001</v>
      </c>
      <c r="D7" s="29" t="s">
        <v>281</v>
      </c>
      <c r="E7" s="100" t="s">
        <v>119</v>
      </c>
      <c r="F7" s="29" t="s">
        <v>239</v>
      </c>
      <c r="G7" s="34">
        <v>245</v>
      </c>
      <c r="H7" s="34">
        <v>178</v>
      </c>
      <c r="I7" s="34">
        <v>41245647.600000001</v>
      </c>
      <c r="J7" s="34">
        <v>2062282.38</v>
      </c>
    </row>
    <row r="8" spans="1:10" ht="19.2" customHeight="1" thickTop="1" thickBot="1" x14ac:dyDescent="0.35">
      <c r="A8" s="29">
        <f t="shared" ref="A8:A27" si="0">ROW()-3</f>
        <v>5</v>
      </c>
      <c r="B8" s="29" t="s">
        <v>104</v>
      </c>
      <c r="C8" s="29">
        <v>8001</v>
      </c>
      <c r="D8" s="29" t="s">
        <v>281</v>
      </c>
      <c r="E8" s="100" t="s">
        <v>136</v>
      </c>
      <c r="F8" s="29" t="s">
        <v>240</v>
      </c>
      <c r="G8" s="34">
        <v>355</v>
      </c>
      <c r="H8" s="34">
        <v>0</v>
      </c>
      <c r="I8" s="34">
        <v>54860910.270000003</v>
      </c>
      <c r="J8" s="34">
        <v>2743045.51</v>
      </c>
    </row>
    <row r="9" spans="1:10" ht="19.2" customHeight="1" thickTop="1" thickBot="1" x14ac:dyDescent="0.35">
      <c r="A9" s="29">
        <f t="shared" si="0"/>
        <v>6</v>
      </c>
      <c r="B9" s="29" t="s">
        <v>109</v>
      </c>
      <c r="C9" s="29">
        <v>8003</v>
      </c>
      <c r="D9" s="29" t="s">
        <v>279</v>
      </c>
      <c r="E9" s="100" t="s">
        <v>119</v>
      </c>
      <c r="F9" s="29" t="s">
        <v>239</v>
      </c>
      <c r="G9" s="34">
        <v>200</v>
      </c>
      <c r="H9" s="34">
        <v>104.5</v>
      </c>
      <c r="I9" s="34">
        <v>34831671.43</v>
      </c>
      <c r="J9" s="34">
        <v>1741583.57</v>
      </c>
    </row>
    <row r="10" spans="1:10" ht="19.2" customHeight="1" thickTop="1" thickBot="1" x14ac:dyDescent="0.35">
      <c r="A10" s="29">
        <f t="shared" si="0"/>
        <v>7</v>
      </c>
      <c r="B10" s="29" t="s">
        <v>367</v>
      </c>
      <c r="C10" s="29">
        <v>8003</v>
      </c>
      <c r="D10" s="29" t="s">
        <v>279</v>
      </c>
      <c r="E10" s="100" t="s">
        <v>117</v>
      </c>
      <c r="F10" s="29" t="s">
        <v>239</v>
      </c>
      <c r="G10" s="34">
        <v>230</v>
      </c>
      <c r="H10" s="34">
        <v>0</v>
      </c>
      <c r="I10" s="34">
        <v>33549989.260000002</v>
      </c>
      <c r="J10" s="34">
        <v>1677499.46</v>
      </c>
    </row>
    <row r="11" spans="1:10" ht="19.2" customHeight="1" thickTop="1" thickBot="1" x14ac:dyDescent="0.35">
      <c r="A11" s="29">
        <f t="shared" si="0"/>
        <v>8</v>
      </c>
      <c r="B11" s="29" t="s">
        <v>242</v>
      </c>
      <c r="C11" s="29">
        <v>8003</v>
      </c>
      <c r="D11" s="29" t="s">
        <v>279</v>
      </c>
      <c r="E11" s="100" t="s">
        <v>117</v>
      </c>
      <c r="F11" s="29" t="s">
        <v>239</v>
      </c>
      <c r="G11" s="34">
        <v>190</v>
      </c>
      <c r="H11" s="34">
        <v>0</v>
      </c>
      <c r="I11" s="34">
        <v>27511832.870000001</v>
      </c>
      <c r="J11" s="34">
        <v>1375591.64</v>
      </c>
    </row>
    <row r="12" spans="1:10" ht="19.2" customHeight="1" thickTop="1" thickBot="1" x14ac:dyDescent="0.35">
      <c r="A12" s="29">
        <f t="shared" si="0"/>
        <v>9</v>
      </c>
      <c r="B12" s="29" t="s">
        <v>110</v>
      </c>
      <c r="C12" s="29">
        <v>8003</v>
      </c>
      <c r="D12" s="29" t="s">
        <v>279</v>
      </c>
      <c r="E12" s="100" t="s">
        <v>135</v>
      </c>
      <c r="F12" s="29" t="s">
        <v>239</v>
      </c>
      <c r="G12" s="34">
        <v>172</v>
      </c>
      <c r="H12" s="34">
        <v>0</v>
      </c>
      <c r="I12" s="34">
        <v>26584787.530000001</v>
      </c>
      <c r="J12" s="34">
        <v>1329239.3799999999</v>
      </c>
    </row>
    <row r="13" spans="1:10" ht="19.2" customHeight="1" thickTop="1" thickBot="1" x14ac:dyDescent="0.35">
      <c r="A13" s="29">
        <f t="shared" si="0"/>
        <v>10</v>
      </c>
      <c r="B13" s="29" t="s">
        <v>112</v>
      </c>
      <c r="C13" s="29">
        <v>8003</v>
      </c>
      <c r="D13" s="29" t="s">
        <v>279</v>
      </c>
      <c r="E13" s="100" t="s">
        <v>136</v>
      </c>
      <c r="F13" s="29" t="s">
        <v>240</v>
      </c>
      <c r="G13" s="34">
        <v>348</v>
      </c>
      <c r="H13" s="34">
        <v>0</v>
      </c>
      <c r="I13" s="34">
        <v>57013847.890000001</v>
      </c>
      <c r="J13" s="34">
        <v>2850692.39</v>
      </c>
    </row>
    <row r="14" spans="1:10" ht="19.2" customHeight="1" thickTop="1" thickBot="1" x14ac:dyDescent="0.35">
      <c r="A14" s="29">
        <f t="shared" si="0"/>
        <v>11</v>
      </c>
      <c r="B14" s="29" t="s">
        <v>113</v>
      </c>
      <c r="C14" s="29">
        <v>8003</v>
      </c>
      <c r="D14" s="29" t="s">
        <v>281</v>
      </c>
      <c r="E14" s="100" t="s">
        <v>117</v>
      </c>
      <c r="F14" s="29" t="s">
        <v>239</v>
      </c>
      <c r="G14" s="34">
        <v>186</v>
      </c>
      <c r="H14" s="34">
        <v>0</v>
      </c>
      <c r="I14" s="34">
        <v>26932636.390000001</v>
      </c>
      <c r="J14" s="34">
        <v>1346631.82</v>
      </c>
    </row>
    <row r="15" spans="1:10" ht="19.2" customHeight="1" thickTop="1" thickBot="1" x14ac:dyDescent="0.35">
      <c r="A15" s="29">
        <f t="shared" si="0"/>
        <v>12</v>
      </c>
      <c r="B15" s="29" t="s">
        <v>111</v>
      </c>
      <c r="C15" s="29">
        <v>8003</v>
      </c>
      <c r="D15" s="29" t="s">
        <v>281</v>
      </c>
      <c r="E15" s="100" t="s">
        <v>135</v>
      </c>
      <c r="F15" s="29" t="s">
        <v>241</v>
      </c>
      <c r="G15" s="34">
        <v>170</v>
      </c>
      <c r="H15" s="34">
        <v>0</v>
      </c>
      <c r="I15" s="34">
        <v>26275662.100000001</v>
      </c>
      <c r="J15" s="34">
        <v>1313783.1100000001</v>
      </c>
    </row>
    <row r="16" spans="1:10" ht="19.2" customHeight="1" thickTop="1" thickBot="1" x14ac:dyDescent="0.35">
      <c r="A16" s="29">
        <f t="shared" si="0"/>
        <v>13</v>
      </c>
      <c r="B16" s="29" t="s">
        <v>449</v>
      </c>
      <c r="C16" s="29">
        <v>8003</v>
      </c>
      <c r="D16" s="29" t="s">
        <v>281</v>
      </c>
      <c r="E16" s="100" t="s">
        <v>136</v>
      </c>
      <c r="F16" s="29" t="s">
        <v>240</v>
      </c>
      <c r="G16" s="34">
        <v>355</v>
      </c>
      <c r="H16" s="34">
        <v>0</v>
      </c>
      <c r="I16" s="34">
        <v>58148965.579999998</v>
      </c>
      <c r="J16" s="34">
        <v>2907448.28</v>
      </c>
    </row>
    <row r="17" spans="1:10" ht="19.2" customHeight="1" thickTop="1" thickBot="1" x14ac:dyDescent="0.35">
      <c r="A17" s="29">
        <f t="shared" si="0"/>
        <v>14</v>
      </c>
      <c r="B17" s="29" t="s">
        <v>479</v>
      </c>
      <c r="C17" s="29">
        <v>8011</v>
      </c>
      <c r="D17" s="29" t="s">
        <v>279</v>
      </c>
      <c r="E17" s="100" t="s">
        <v>119</v>
      </c>
      <c r="F17" s="29" t="s">
        <v>239</v>
      </c>
      <c r="G17" s="34">
        <v>190.44</v>
      </c>
      <c r="H17" s="34">
        <v>197.67</v>
      </c>
      <c r="I17" s="34">
        <v>36845954.350000001</v>
      </c>
      <c r="J17" s="34">
        <v>1842297.72</v>
      </c>
    </row>
    <row r="18" spans="1:10" ht="19.2" customHeight="1" thickTop="1" thickBot="1" x14ac:dyDescent="0.35">
      <c r="A18" s="29">
        <f t="shared" si="0"/>
        <v>15</v>
      </c>
      <c r="B18" s="29" t="s">
        <v>480</v>
      </c>
      <c r="C18" s="29">
        <v>8011</v>
      </c>
      <c r="D18" s="29" t="s">
        <v>279</v>
      </c>
      <c r="E18" s="100" t="s">
        <v>119</v>
      </c>
      <c r="F18" s="29" t="s">
        <v>239</v>
      </c>
      <c r="G18" s="34">
        <v>166.19</v>
      </c>
      <c r="H18" s="34">
        <v>111.9</v>
      </c>
      <c r="I18" s="34">
        <v>29331209.52</v>
      </c>
      <c r="J18" s="34">
        <v>1466560.48</v>
      </c>
    </row>
    <row r="19" spans="1:10" ht="19.2" customHeight="1" thickTop="1" thickBot="1" x14ac:dyDescent="0.35">
      <c r="A19" s="29">
        <f t="shared" si="0"/>
        <v>16</v>
      </c>
      <c r="B19" s="29" t="s">
        <v>481</v>
      </c>
      <c r="C19" s="29">
        <v>8011</v>
      </c>
      <c r="D19" s="29" t="s">
        <v>281</v>
      </c>
      <c r="E19" s="100" t="s">
        <v>119</v>
      </c>
      <c r="F19" s="29" t="s">
        <v>239</v>
      </c>
      <c r="G19" s="34">
        <v>190.44</v>
      </c>
      <c r="H19" s="34">
        <v>197.91</v>
      </c>
      <c r="I19" s="34">
        <v>37267180.759999998</v>
      </c>
      <c r="J19" s="34">
        <v>1863359.04</v>
      </c>
    </row>
    <row r="20" spans="1:10" ht="19.2" customHeight="1" thickTop="1" thickBot="1" x14ac:dyDescent="0.35">
      <c r="A20" s="29">
        <f t="shared" si="0"/>
        <v>17</v>
      </c>
      <c r="B20" s="29" t="s">
        <v>482</v>
      </c>
      <c r="C20" s="29">
        <v>8011</v>
      </c>
      <c r="D20" s="29" t="s">
        <v>279</v>
      </c>
      <c r="E20" s="100" t="s">
        <v>117</v>
      </c>
      <c r="F20" s="29" t="s">
        <v>239</v>
      </c>
      <c r="G20" s="34">
        <v>188.78</v>
      </c>
      <c r="H20" s="34">
        <v>0</v>
      </c>
      <c r="I20" s="34">
        <v>27940625.18</v>
      </c>
      <c r="J20" s="34">
        <v>1397031.26</v>
      </c>
    </row>
    <row r="21" spans="1:10" ht="19.2" customHeight="1" thickTop="1" thickBot="1" x14ac:dyDescent="0.35">
      <c r="A21" s="29">
        <f t="shared" si="0"/>
        <v>18</v>
      </c>
      <c r="B21" s="29" t="s">
        <v>483</v>
      </c>
      <c r="C21" s="29">
        <v>8011</v>
      </c>
      <c r="D21" s="29" t="s">
        <v>279</v>
      </c>
      <c r="E21" s="100" t="s">
        <v>117</v>
      </c>
      <c r="F21" s="29" t="s">
        <v>241</v>
      </c>
      <c r="G21" s="34">
        <v>151</v>
      </c>
      <c r="H21" s="34">
        <v>0</v>
      </c>
      <c r="I21" s="34">
        <v>22904385.93</v>
      </c>
      <c r="J21" s="34">
        <v>1145219.3</v>
      </c>
    </row>
    <row r="22" spans="1:10" ht="19.2" customHeight="1" thickTop="1" thickBot="1" x14ac:dyDescent="0.35">
      <c r="A22" s="29">
        <f t="shared" si="0"/>
        <v>19</v>
      </c>
      <c r="B22" s="29" t="s">
        <v>484</v>
      </c>
      <c r="C22" s="29">
        <v>8011</v>
      </c>
      <c r="D22" s="29" t="s">
        <v>281</v>
      </c>
      <c r="E22" s="100" t="s">
        <v>117</v>
      </c>
      <c r="F22" s="29" t="s">
        <v>241</v>
      </c>
      <c r="G22" s="34">
        <v>151</v>
      </c>
      <c r="H22" s="34">
        <v>0</v>
      </c>
      <c r="I22" s="34">
        <v>22904385.93</v>
      </c>
      <c r="J22" s="34">
        <v>1145219.3</v>
      </c>
    </row>
    <row r="23" spans="1:10" ht="19.2" customHeight="1" thickTop="1" thickBot="1" x14ac:dyDescent="0.35">
      <c r="A23" s="29">
        <f t="shared" si="0"/>
        <v>20</v>
      </c>
      <c r="B23" s="29" t="s">
        <v>485</v>
      </c>
      <c r="C23" s="29">
        <v>8011</v>
      </c>
      <c r="D23" s="29" t="s">
        <v>281</v>
      </c>
      <c r="E23" s="100" t="s">
        <v>117</v>
      </c>
      <c r="F23" s="29" t="s">
        <v>239</v>
      </c>
      <c r="G23" s="34">
        <v>189.8</v>
      </c>
      <c r="H23" s="34">
        <v>0</v>
      </c>
      <c r="I23" s="34">
        <v>28522398.649999999</v>
      </c>
      <c r="J23" s="34">
        <v>1426119.93</v>
      </c>
    </row>
    <row r="24" spans="1:10" ht="19.2" customHeight="1" thickTop="1" thickBot="1" x14ac:dyDescent="0.35">
      <c r="A24" s="29">
        <f t="shared" si="0"/>
        <v>21</v>
      </c>
      <c r="B24" s="29" t="s">
        <v>502</v>
      </c>
      <c r="C24" s="29">
        <v>8011</v>
      </c>
      <c r="D24" s="29" t="s">
        <v>281</v>
      </c>
      <c r="E24" s="100" t="s">
        <v>136</v>
      </c>
      <c r="F24" s="29" t="s">
        <v>239</v>
      </c>
      <c r="G24" s="34">
        <v>170.33</v>
      </c>
      <c r="H24" s="34">
        <v>0</v>
      </c>
      <c r="I24" s="34">
        <v>24609990.829999998</v>
      </c>
      <c r="J24" s="34">
        <v>1230499.54</v>
      </c>
    </row>
    <row r="25" spans="1:10" ht="19.2" customHeight="1" thickTop="1" thickBot="1" x14ac:dyDescent="0.35">
      <c r="A25" s="29">
        <f t="shared" si="0"/>
        <v>22</v>
      </c>
      <c r="B25" s="29" t="s">
        <v>486</v>
      </c>
      <c r="C25" s="29">
        <v>8011</v>
      </c>
      <c r="D25" s="29" t="s">
        <v>279</v>
      </c>
      <c r="E25" s="100" t="s">
        <v>135</v>
      </c>
      <c r="F25" s="29" t="s">
        <v>241</v>
      </c>
      <c r="G25" s="34">
        <v>152.6</v>
      </c>
      <c r="H25" s="34">
        <v>0</v>
      </c>
      <c r="I25" s="34">
        <v>23136061.539999999</v>
      </c>
      <c r="J25" s="34">
        <v>1156803.08</v>
      </c>
    </row>
    <row r="26" spans="1:10" ht="19.2" customHeight="1" thickTop="1" thickBot="1" x14ac:dyDescent="0.35">
      <c r="A26" s="29">
        <f t="shared" si="0"/>
        <v>23</v>
      </c>
      <c r="B26" s="29" t="s">
        <v>487</v>
      </c>
      <c r="C26" s="29">
        <v>8011</v>
      </c>
      <c r="D26" s="29" t="s">
        <v>281</v>
      </c>
      <c r="E26" s="100" t="s">
        <v>135</v>
      </c>
      <c r="F26" s="29" t="s">
        <v>241</v>
      </c>
      <c r="G26" s="34">
        <v>152.6</v>
      </c>
      <c r="H26" s="34">
        <v>0</v>
      </c>
      <c r="I26" s="34">
        <v>23136061.539999999</v>
      </c>
      <c r="J26" s="34">
        <v>1156803.08</v>
      </c>
    </row>
    <row r="27" spans="1:10" ht="19.2" customHeight="1" thickTop="1" thickBot="1" x14ac:dyDescent="0.35">
      <c r="A27" s="29">
        <f t="shared" si="0"/>
        <v>24</v>
      </c>
      <c r="B27" s="29" t="s">
        <v>514</v>
      </c>
      <c r="C27" s="29">
        <v>8011</v>
      </c>
      <c r="D27" s="29" t="s">
        <v>281</v>
      </c>
      <c r="E27" s="100" t="s">
        <v>136</v>
      </c>
      <c r="F27" s="29" t="s">
        <v>239</v>
      </c>
      <c r="G27" s="34">
        <v>184.5</v>
      </c>
      <c r="H27" s="34">
        <v>0</v>
      </c>
      <c r="I27" s="34">
        <v>27668173.100000001</v>
      </c>
      <c r="J27" s="34">
        <v>1383408.65</v>
      </c>
    </row>
    <row r="28" spans="1:10" ht="22.5" customHeight="1" thickTop="1" x14ac:dyDescent="0.3"/>
    <row r="30" spans="1:10" ht="22.5" customHeight="1" x14ac:dyDescent="0.3">
      <c r="B30" s="80"/>
      <c r="C30" s="81"/>
      <c r="D30" s="82"/>
      <c r="E30" s="83"/>
      <c r="F30" s="80"/>
    </row>
    <row r="31" spans="1:10" ht="22.5" customHeight="1" x14ac:dyDescent="0.3">
      <c r="B31" s="80"/>
      <c r="C31" s="81"/>
      <c r="D31" s="82"/>
      <c r="E31" s="83"/>
      <c r="F31" s="80"/>
    </row>
    <row r="32" spans="1:10" ht="22.5" customHeight="1" x14ac:dyDescent="0.3">
      <c r="B32" s="80"/>
      <c r="C32" s="81"/>
      <c r="D32" s="82"/>
      <c r="E32" s="83"/>
      <c r="F32" s="80"/>
    </row>
  </sheetData>
  <mergeCells count="2">
    <mergeCell ref="A1:J1"/>
    <mergeCell ref="A2:G2"/>
  </mergeCells>
  <conditionalFormatting sqref="A3:J3 B4:B1048576">
    <cfRule type="duplicateValues" dxfId="91" priority="5844"/>
  </conditionalFormatting>
  <conditionalFormatting sqref="B29:B1048576">
    <cfRule type="duplicateValues" dxfId="90" priority="2"/>
  </conditionalFormatting>
  <pageMargins left="0.25" right="0.25" top="0.75" bottom="0.75" header="0.3" footer="0.3"/>
  <pageSetup scale="71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6062-5EF9-4547-90CE-524EEFDB00A5}">
  <sheetPr>
    <pageSetUpPr fitToPage="1"/>
  </sheetPr>
  <dimension ref="A1:I9"/>
  <sheetViews>
    <sheetView view="pageBreakPreview" zoomScale="88" zoomScaleNormal="100" zoomScaleSheetLayoutView="100" workbookViewId="0">
      <selection activeCell="A8" sqref="A8:XFD8"/>
    </sheetView>
  </sheetViews>
  <sheetFormatPr defaultColWidth="18.109375" defaultRowHeight="14.4" x14ac:dyDescent="0.3"/>
  <cols>
    <col min="1" max="1" width="5.33203125" style="1" customWidth="1"/>
    <col min="2" max="2" width="22" style="1" customWidth="1"/>
    <col min="3" max="3" width="18.109375" style="1" customWidth="1"/>
    <col min="4" max="4" width="12.6640625" style="1" customWidth="1"/>
    <col min="5" max="5" width="11.109375" style="1" bestFit="1" customWidth="1"/>
    <col min="6" max="6" width="14.88671875" style="1" customWidth="1"/>
    <col min="7" max="7" width="15.44140625" style="1" customWidth="1"/>
    <col min="8" max="8" width="24.33203125" style="1" customWidth="1"/>
    <col min="9" max="9" width="17.44140625" style="1" customWidth="1"/>
    <col min="10" max="16384" width="18.109375" style="1"/>
  </cols>
  <sheetData>
    <row r="1" spans="1:9" ht="30" customHeight="1" x14ac:dyDescent="0.3">
      <c r="A1" s="289" t="s">
        <v>26</v>
      </c>
      <c r="B1" s="289"/>
      <c r="C1" s="289"/>
      <c r="D1" s="289"/>
      <c r="E1" s="289"/>
      <c r="F1" s="289"/>
      <c r="G1" s="289"/>
      <c r="H1" s="289"/>
      <c r="I1" s="289"/>
    </row>
    <row r="2" spans="1:9" ht="7.2" customHeight="1" x14ac:dyDescent="0.3">
      <c r="A2" s="268"/>
      <c r="B2" s="268"/>
      <c r="C2" s="268"/>
      <c r="D2" s="268"/>
      <c r="E2" s="268"/>
      <c r="F2" s="268"/>
      <c r="G2" s="268"/>
      <c r="H2" s="268"/>
      <c r="I2" s="268"/>
    </row>
    <row r="3" spans="1:9" ht="7.2" customHeight="1" x14ac:dyDescent="0.3"/>
    <row r="4" spans="1:9" ht="29.4" customHeight="1" thickBot="1" x14ac:dyDescent="0.35">
      <c r="A4" s="37" t="s">
        <v>5</v>
      </c>
      <c r="B4" s="37" t="s">
        <v>16</v>
      </c>
      <c r="C4" s="37" t="s">
        <v>21</v>
      </c>
      <c r="D4" s="37" t="s">
        <v>0</v>
      </c>
      <c r="E4" s="37" t="s">
        <v>9</v>
      </c>
      <c r="F4" s="37" t="s">
        <v>18</v>
      </c>
      <c r="G4" s="37" t="s">
        <v>22</v>
      </c>
      <c r="H4" s="37" t="s">
        <v>10</v>
      </c>
      <c r="I4" s="37" t="s">
        <v>122</v>
      </c>
    </row>
    <row r="5" spans="1:9" ht="25.2" customHeight="1" thickTop="1" thickBot="1" x14ac:dyDescent="0.35">
      <c r="A5" s="21">
        <v>1</v>
      </c>
      <c r="B5" s="117" t="s">
        <v>120</v>
      </c>
      <c r="C5" s="117" t="s">
        <v>121</v>
      </c>
      <c r="D5" s="117">
        <v>746.2</v>
      </c>
      <c r="E5" s="117">
        <v>459</v>
      </c>
      <c r="F5" s="117">
        <v>0</v>
      </c>
      <c r="G5" s="117">
        <v>243</v>
      </c>
      <c r="H5" s="231">
        <v>152046113.06999999</v>
      </c>
      <c r="I5" s="230">
        <v>7602305.6500000004</v>
      </c>
    </row>
    <row r="6" spans="1:9" ht="25.2" customHeight="1" thickTop="1" thickBot="1" x14ac:dyDescent="0.35">
      <c r="A6" s="21">
        <v>2</v>
      </c>
      <c r="B6" s="117" t="s">
        <v>184</v>
      </c>
      <c r="C6" s="117" t="s">
        <v>121</v>
      </c>
      <c r="D6" s="117">
        <v>527.79999999999995</v>
      </c>
      <c r="E6" s="117">
        <v>271.05</v>
      </c>
      <c r="F6" s="117">
        <v>0</v>
      </c>
      <c r="G6" s="117">
        <v>116.95</v>
      </c>
      <c r="H6" s="231">
        <v>99650000</v>
      </c>
      <c r="I6" s="230">
        <v>4982500</v>
      </c>
    </row>
    <row r="7" spans="1:9" ht="25.2" customHeight="1" thickTop="1" thickBot="1" x14ac:dyDescent="0.35">
      <c r="A7" s="21">
        <v>3</v>
      </c>
      <c r="B7" s="117" t="s">
        <v>312</v>
      </c>
      <c r="C7" s="117" t="s">
        <v>121</v>
      </c>
      <c r="D7" s="117">
        <v>803.35</v>
      </c>
      <c r="E7" s="117">
        <v>444</v>
      </c>
      <c r="F7" s="117">
        <v>0</v>
      </c>
      <c r="G7" s="117"/>
      <c r="H7" s="231">
        <v>141318810.90000001</v>
      </c>
      <c r="I7" s="230">
        <v>7065940.5499999998</v>
      </c>
    </row>
    <row r="8" spans="1:9" ht="15" thickTop="1" x14ac:dyDescent="0.3">
      <c r="A8" s="3"/>
      <c r="B8" s="3"/>
      <c r="C8" s="3"/>
    </row>
    <row r="9" spans="1:9" x14ac:dyDescent="0.3">
      <c r="B9" s="116"/>
    </row>
  </sheetData>
  <mergeCells count="1">
    <mergeCell ref="A1:I2"/>
  </mergeCells>
  <conditionalFormatting sqref="A4 F4:G4">
    <cfRule type="duplicateValues" dxfId="89" priority="15"/>
    <cfRule type="duplicateValues" dxfId="88" priority="16"/>
    <cfRule type="duplicateValues" dxfId="87" priority="17"/>
  </conditionalFormatting>
  <conditionalFormatting sqref="B1:B1048576">
    <cfRule type="duplicateValues" dxfId="86" priority="1"/>
  </conditionalFormatting>
  <conditionalFormatting sqref="B15:B1048576 B8:B9 B1:B4">
    <cfRule type="duplicateValues" dxfId="85" priority="4"/>
  </conditionalFormatting>
  <conditionalFormatting sqref="B8">
    <cfRule type="duplicateValues" dxfId="84" priority="51"/>
    <cfRule type="duplicateValues" dxfId="83" priority="53"/>
  </conditionalFormatting>
  <conditionalFormatting sqref="B8:B9 B3 B15:B1048576">
    <cfRule type="duplicateValues" dxfId="82" priority="19"/>
    <cfRule type="duplicateValues" dxfId="81" priority="27"/>
    <cfRule type="duplicateValues" dxfId="80" priority="1522"/>
    <cfRule type="duplicateValues" dxfId="79" priority="1537"/>
    <cfRule type="duplicateValues" dxfId="78" priority="1542"/>
  </conditionalFormatting>
  <conditionalFormatting sqref="B8:B9 B15:B1048576">
    <cfRule type="duplicateValues" dxfId="77" priority="1528"/>
  </conditionalFormatting>
  <conditionalFormatting sqref="B9 B15:B1048576">
    <cfRule type="duplicateValues" dxfId="76" priority="18"/>
    <cfRule type="duplicateValues" dxfId="75" priority="1526"/>
    <cfRule type="duplicateValues" dxfId="74" priority="1545"/>
  </conditionalFormatting>
  <conditionalFormatting sqref="B15:B1048576 B1:B9">
    <cfRule type="duplicateValues" dxfId="73" priority="2"/>
    <cfRule type="duplicateValues" dxfId="72" priority="3"/>
  </conditionalFormatting>
  <pageMargins left="0.7" right="0.7" top="0.75" bottom="0.75" header="0.3" footer="0.3"/>
  <pageSetup scale="65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2C16-9AFE-43D5-84A8-8B80E5630A1B}">
  <sheetPr>
    <pageSetUpPr fitToPage="1"/>
  </sheetPr>
  <dimension ref="A1:J7"/>
  <sheetViews>
    <sheetView view="pageBreakPreview" zoomScale="70" zoomScaleNormal="94" workbookViewId="0">
      <selection activeCell="J29" sqref="J29"/>
    </sheetView>
  </sheetViews>
  <sheetFormatPr defaultColWidth="18.6640625" defaultRowHeight="14.4" x14ac:dyDescent="0.3"/>
  <cols>
    <col min="1" max="1" width="6.5546875" bestFit="1" customWidth="1"/>
    <col min="2" max="2" width="15.33203125" bestFit="1" customWidth="1"/>
    <col min="3" max="3" width="11" customWidth="1"/>
    <col min="4" max="4" width="20" bestFit="1" customWidth="1"/>
    <col min="5" max="5" width="12.44140625" customWidth="1"/>
    <col min="6" max="6" width="15.6640625" customWidth="1"/>
    <col min="7" max="7" width="18.5546875" customWidth="1"/>
    <col min="8" max="8" width="20.88671875" customWidth="1"/>
  </cols>
  <sheetData>
    <row r="1" spans="1:10" ht="33.6" customHeight="1" thickBot="1" x14ac:dyDescent="0.35">
      <c r="A1" s="291" t="s">
        <v>193</v>
      </c>
      <c r="B1" s="268"/>
      <c r="C1" s="268"/>
      <c r="D1" s="268"/>
      <c r="E1" s="268"/>
      <c r="F1" s="268"/>
      <c r="G1" s="268"/>
      <c r="H1" s="268"/>
      <c r="I1" s="268"/>
      <c r="J1" s="268"/>
    </row>
    <row r="2" spans="1:10" ht="7.8" customHeight="1" x14ac:dyDescent="0.3">
      <c r="A2" s="290"/>
      <c r="B2" s="290"/>
      <c r="C2" s="290"/>
      <c r="D2" s="290"/>
      <c r="E2" s="290"/>
      <c r="F2" s="290"/>
      <c r="G2" s="290"/>
      <c r="H2" s="290"/>
    </row>
    <row r="3" spans="1:10" ht="7.8" customHeight="1" x14ac:dyDescent="0.3">
      <c r="A3" s="283"/>
      <c r="B3" s="283"/>
      <c r="C3" s="283"/>
      <c r="D3" s="283"/>
      <c r="E3" s="283"/>
      <c r="F3" s="283"/>
      <c r="G3" s="283"/>
      <c r="H3" s="283"/>
    </row>
    <row r="4" spans="1:10" ht="27.6" customHeight="1" thickBot="1" x14ac:dyDescent="0.35">
      <c r="A4" s="37" t="s">
        <v>5</v>
      </c>
      <c r="B4" s="37" t="s">
        <v>11</v>
      </c>
      <c r="C4" s="37" t="s">
        <v>188</v>
      </c>
      <c r="D4" s="37" t="s">
        <v>187</v>
      </c>
      <c r="E4" s="37" t="s">
        <v>47</v>
      </c>
      <c r="F4" s="37" t="s">
        <v>48</v>
      </c>
      <c r="G4" s="139" t="s">
        <v>191</v>
      </c>
      <c r="H4" s="139" t="s">
        <v>98</v>
      </c>
      <c r="I4" s="140" t="s">
        <v>192</v>
      </c>
      <c r="J4" s="140" t="s">
        <v>190</v>
      </c>
    </row>
    <row r="5" spans="1:10" ht="22.2" customHeight="1" thickTop="1" thickBot="1" x14ac:dyDescent="0.35">
      <c r="A5" s="110">
        <f>ROW()-4</f>
        <v>1</v>
      </c>
      <c r="B5" s="110" t="s">
        <v>185</v>
      </c>
      <c r="C5" s="110" t="s">
        <v>186</v>
      </c>
      <c r="D5" s="110" t="s">
        <v>189</v>
      </c>
      <c r="E5" s="110">
        <v>263.79755999999998</v>
      </c>
      <c r="F5" s="110">
        <v>34.582949999999997</v>
      </c>
      <c r="G5" s="114">
        <v>33992062.840000004</v>
      </c>
      <c r="H5" s="143">
        <f>Table711[[#This Row],[PRICE FF]]*10%</f>
        <v>3399206.2840000005</v>
      </c>
      <c r="I5" s="114">
        <v>37880985.288443103</v>
      </c>
      <c r="J5" s="142">
        <f>Table711[[#This Row],[PRICE FR]]*10%</f>
        <v>3788098.5288443104</v>
      </c>
    </row>
    <row r="6" spans="1:10" ht="24" customHeight="1" thickTop="1" thickBot="1" x14ac:dyDescent="0.35">
      <c r="A6" s="111"/>
      <c r="B6" s="112" t="s">
        <v>194</v>
      </c>
      <c r="C6" s="113"/>
      <c r="D6" s="113"/>
      <c r="E6" s="113"/>
      <c r="F6" s="113"/>
      <c r="G6" s="144" t="s">
        <v>195</v>
      </c>
      <c r="H6" s="113"/>
      <c r="I6" s="113"/>
      <c r="J6" s="141"/>
    </row>
    <row r="7" spans="1:10" ht="15" thickTop="1" x14ac:dyDescent="0.3"/>
  </sheetData>
  <mergeCells count="2">
    <mergeCell ref="A2:H3"/>
    <mergeCell ref="A1:J1"/>
  </mergeCells>
  <conditionalFormatting sqref="A4">
    <cfRule type="duplicateValues" dxfId="71" priority="6"/>
    <cfRule type="duplicateValues" dxfId="70" priority="7"/>
    <cfRule type="duplicateValues" dxfId="69" priority="8"/>
  </conditionalFormatting>
  <conditionalFormatting sqref="B6">
    <cfRule type="duplicateValues" dxfId="68" priority="1"/>
    <cfRule type="duplicateValues" dxfId="67" priority="2"/>
    <cfRule type="duplicateValues" dxfId="66" priority="3"/>
    <cfRule type="duplicateValues" dxfId="65" priority="4"/>
    <cfRule type="duplicateValues" dxfId="64" priority="5"/>
  </conditionalFormatting>
  <conditionalFormatting sqref="B7">
    <cfRule type="duplicateValues" dxfId="63" priority="16"/>
    <cfRule type="duplicateValues" dxfId="62" priority="20"/>
  </conditionalFormatting>
  <conditionalFormatting sqref="B7:B1048576 B5">
    <cfRule type="duplicateValues" dxfId="61" priority="21"/>
  </conditionalFormatting>
  <conditionalFormatting sqref="B7:B1048576">
    <cfRule type="duplicateValues" dxfId="60" priority="15"/>
    <cfRule type="duplicateValues" dxfId="59" priority="19"/>
  </conditionalFormatting>
  <conditionalFormatting sqref="B8:B1048576">
    <cfRule type="duplicateValues" dxfId="58" priority="12"/>
    <cfRule type="duplicateValues" dxfId="57" priority="13"/>
    <cfRule type="duplicateValues" dxfId="56" priority="14"/>
    <cfRule type="duplicateValues" dxfId="55" priority="17"/>
    <cfRule type="duplicateValues" dxfId="54" priority="18"/>
  </conditionalFormatting>
  <conditionalFormatting sqref="B4:J4">
    <cfRule type="duplicateValues" dxfId="53" priority="9"/>
    <cfRule type="duplicateValues" dxfId="52" priority="10"/>
    <cfRule type="duplicateValues" dxfId="51" priority="11"/>
  </conditionalFormatting>
  <pageMargins left="0.7" right="0.7" top="0.75" bottom="0.75" header="0.3" footer="0.3"/>
  <pageSetup scale="58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30D8-064F-4C7C-A313-42A3226AEA74}">
  <dimension ref="A1:K24"/>
  <sheetViews>
    <sheetView view="pageBreakPreview" topLeftCell="A3" zoomScale="86" zoomScaleNormal="100" zoomScaleSheetLayoutView="97" workbookViewId="0">
      <selection activeCell="D17" sqref="D17"/>
    </sheetView>
  </sheetViews>
  <sheetFormatPr defaultColWidth="11.6640625" defaultRowHeight="14.4" x14ac:dyDescent="0.3"/>
  <cols>
    <col min="1" max="1" width="4.77734375" style="1" customWidth="1"/>
    <col min="2" max="2" width="20.6640625" style="1" customWidth="1"/>
    <col min="3" max="3" width="11.77734375" style="1" customWidth="1"/>
    <col min="4" max="4" width="32.33203125" style="1" customWidth="1"/>
    <col min="5" max="5" width="13.109375" style="1" customWidth="1"/>
    <col min="6" max="7" width="13.6640625" style="1" customWidth="1"/>
    <col min="8" max="8" width="10.21875" style="1" customWidth="1"/>
    <col min="9" max="9" width="13.6640625" style="1" customWidth="1"/>
    <col min="10" max="10" width="21" style="1" customWidth="1"/>
    <col min="11" max="11" width="15.21875" style="1" customWidth="1"/>
    <col min="13" max="13" width="13.21875" bestFit="1" customWidth="1"/>
  </cols>
  <sheetData>
    <row r="1" spans="1:11" ht="39.75" customHeight="1" thickBot="1" x14ac:dyDescent="0.35">
      <c r="A1" s="292" t="s">
        <v>66</v>
      </c>
      <c r="B1" s="293"/>
      <c r="C1" s="293"/>
      <c r="D1" s="293"/>
      <c r="E1" s="293"/>
      <c r="F1" s="293"/>
      <c r="G1" s="293"/>
      <c r="H1" s="293"/>
      <c r="I1" s="293"/>
      <c r="J1" s="293"/>
      <c r="K1" s="294"/>
    </row>
    <row r="2" spans="1:11" ht="15.6" thickTop="1" thickBot="1" x14ac:dyDescent="0.35">
      <c r="A2" s="180"/>
      <c r="K2" s="181"/>
    </row>
    <row r="3" spans="1:11" ht="29.4" customHeight="1" thickTop="1" thickBot="1" x14ac:dyDescent="0.35">
      <c r="A3" s="187" t="s">
        <v>5</v>
      </c>
      <c r="B3" s="39" t="s">
        <v>6</v>
      </c>
      <c r="C3" s="39" t="s">
        <v>43</v>
      </c>
      <c r="D3" s="39" t="s">
        <v>65</v>
      </c>
      <c r="E3" s="39" t="s">
        <v>13</v>
      </c>
      <c r="F3" s="39" t="s">
        <v>38</v>
      </c>
      <c r="G3" s="39" t="s">
        <v>4</v>
      </c>
      <c r="H3" s="39" t="s">
        <v>0</v>
      </c>
      <c r="I3" s="39" t="s">
        <v>64</v>
      </c>
      <c r="J3" s="39" t="s">
        <v>46</v>
      </c>
      <c r="K3" s="188">
        <v>0.05</v>
      </c>
    </row>
    <row r="4" spans="1:11" ht="19.8" customHeight="1" thickTop="1" thickBot="1" x14ac:dyDescent="0.35">
      <c r="A4" s="189">
        <f t="shared" ref="A4:A11" si="0">ROW()-3</f>
        <v>1</v>
      </c>
      <c r="B4" s="21" t="s">
        <v>124</v>
      </c>
      <c r="C4" s="10" t="s">
        <v>125</v>
      </c>
      <c r="D4" s="21" t="s">
        <v>123</v>
      </c>
      <c r="E4" s="10" t="s">
        <v>119</v>
      </c>
      <c r="F4" s="10">
        <v>282</v>
      </c>
      <c r="G4" s="10">
        <v>122</v>
      </c>
      <c r="H4" s="21">
        <v>0</v>
      </c>
      <c r="I4" s="10">
        <v>0</v>
      </c>
      <c r="J4" s="11">
        <v>57950120.840000004</v>
      </c>
      <c r="K4" s="190">
        <v>2897506.04</v>
      </c>
    </row>
    <row r="5" spans="1:11" ht="19.8" customHeight="1" thickTop="1" thickBot="1" x14ac:dyDescent="0.35">
      <c r="A5" s="189">
        <f t="shared" si="0"/>
        <v>2</v>
      </c>
      <c r="B5" s="21" t="s">
        <v>139</v>
      </c>
      <c r="C5" s="10" t="s">
        <v>140</v>
      </c>
      <c r="D5" s="21" t="s">
        <v>123</v>
      </c>
      <c r="E5" s="10" t="s">
        <v>119</v>
      </c>
      <c r="F5" s="10">
        <v>282</v>
      </c>
      <c r="G5" s="10">
        <v>122</v>
      </c>
      <c r="H5" s="21">
        <v>0</v>
      </c>
      <c r="I5" s="10">
        <v>0</v>
      </c>
      <c r="J5" s="11">
        <v>57187284.670000002</v>
      </c>
      <c r="K5" s="190">
        <v>2859364.23</v>
      </c>
    </row>
    <row r="6" spans="1:11" ht="19.8" customHeight="1" thickTop="1" thickBot="1" x14ac:dyDescent="0.35">
      <c r="A6" s="189">
        <f t="shared" si="0"/>
        <v>3</v>
      </c>
      <c r="B6" s="21" t="s">
        <v>229</v>
      </c>
      <c r="C6" s="10" t="s">
        <v>141</v>
      </c>
      <c r="D6" s="21" t="s">
        <v>230</v>
      </c>
      <c r="E6" s="10" t="s">
        <v>136</v>
      </c>
      <c r="F6" s="10">
        <v>251</v>
      </c>
      <c r="G6" s="10">
        <v>0</v>
      </c>
      <c r="H6" s="21">
        <v>0</v>
      </c>
      <c r="I6" s="10">
        <v>39.5</v>
      </c>
      <c r="J6" s="11">
        <v>53208778.18</v>
      </c>
      <c r="K6" s="190">
        <v>2660438.91</v>
      </c>
    </row>
    <row r="7" spans="1:11" ht="19.8" customHeight="1" thickTop="1" thickBot="1" x14ac:dyDescent="0.35">
      <c r="A7" s="189">
        <f t="shared" si="0"/>
        <v>4</v>
      </c>
      <c r="B7" s="21" t="s">
        <v>305</v>
      </c>
      <c r="C7" s="10" t="s">
        <v>306</v>
      </c>
      <c r="D7" s="21" t="s">
        <v>123</v>
      </c>
      <c r="E7" s="10" t="s">
        <v>119</v>
      </c>
      <c r="F7" s="10">
        <v>282</v>
      </c>
      <c r="G7" s="10">
        <v>122</v>
      </c>
      <c r="H7" s="21">
        <v>0</v>
      </c>
      <c r="I7" s="10">
        <v>0</v>
      </c>
      <c r="J7" s="11">
        <v>57187284.670000002</v>
      </c>
      <c r="K7" s="190">
        <v>2859364.23</v>
      </c>
    </row>
    <row r="8" spans="1:11" ht="19.8" customHeight="1" thickTop="1" thickBot="1" x14ac:dyDescent="0.35">
      <c r="A8" s="189">
        <f t="shared" si="0"/>
        <v>5</v>
      </c>
      <c r="B8" s="21" t="s">
        <v>307</v>
      </c>
      <c r="C8" s="10" t="s">
        <v>306</v>
      </c>
      <c r="D8" s="21" t="s">
        <v>123</v>
      </c>
      <c r="E8" s="10" t="s">
        <v>117</v>
      </c>
      <c r="F8" s="10">
        <v>291</v>
      </c>
      <c r="G8" s="10">
        <v>0</v>
      </c>
      <c r="H8" s="21">
        <v>0</v>
      </c>
      <c r="I8" s="10">
        <v>0</v>
      </c>
      <c r="J8" s="11">
        <v>50080113.079999998</v>
      </c>
      <c r="K8" s="190">
        <v>2504005.65</v>
      </c>
    </row>
    <row r="9" spans="1:11" ht="19.8" customHeight="1" thickTop="1" thickBot="1" x14ac:dyDescent="0.35">
      <c r="A9" s="189">
        <f t="shared" si="0"/>
        <v>6</v>
      </c>
      <c r="B9" s="21" t="s">
        <v>308</v>
      </c>
      <c r="C9" s="10" t="s">
        <v>306</v>
      </c>
      <c r="D9" s="21" t="s">
        <v>123</v>
      </c>
      <c r="E9" s="10" t="s">
        <v>135</v>
      </c>
      <c r="F9" s="10">
        <v>281</v>
      </c>
      <c r="G9" s="10">
        <v>0</v>
      </c>
      <c r="H9" s="21">
        <v>0</v>
      </c>
      <c r="I9" s="10">
        <v>0</v>
      </c>
      <c r="J9" s="11">
        <v>50607911.579999998</v>
      </c>
      <c r="K9" s="190">
        <v>2530395.58</v>
      </c>
    </row>
    <row r="10" spans="1:11" ht="19.8" customHeight="1" thickTop="1" thickBot="1" x14ac:dyDescent="0.35">
      <c r="A10" s="189">
        <f t="shared" si="0"/>
        <v>7</v>
      </c>
      <c r="B10" s="21" t="s">
        <v>371</v>
      </c>
      <c r="C10" s="10" t="s">
        <v>309</v>
      </c>
      <c r="D10" s="21" t="s">
        <v>123</v>
      </c>
      <c r="E10" s="10" t="s">
        <v>117</v>
      </c>
      <c r="F10" s="10">
        <v>291</v>
      </c>
      <c r="G10" s="10">
        <v>0</v>
      </c>
      <c r="H10" s="21">
        <v>0</v>
      </c>
      <c r="I10" s="10">
        <v>0</v>
      </c>
      <c r="J10" s="11">
        <v>50745482.170000002</v>
      </c>
      <c r="K10" s="190">
        <v>2537274.11</v>
      </c>
    </row>
    <row r="11" spans="1:11" ht="19.8" customHeight="1" thickTop="1" thickBot="1" x14ac:dyDescent="0.35">
      <c r="A11" s="189">
        <f t="shared" si="0"/>
        <v>8</v>
      </c>
      <c r="B11" s="21" t="s">
        <v>310</v>
      </c>
      <c r="C11" s="10" t="s">
        <v>309</v>
      </c>
      <c r="D11" s="21" t="s">
        <v>311</v>
      </c>
      <c r="E11" s="10" t="s">
        <v>136</v>
      </c>
      <c r="F11" s="10">
        <v>251</v>
      </c>
      <c r="G11" s="10">
        <v>0</v>
      </c>
      <c r="H11" s="21">
        <v>0</v>
      </c>
      <c r="I11" s="10">
        <v>39.5</v>
      </c>
      <c r="J11" s="11">
        <v>53208778.18</v>
      </c>
      <c r="K11" s="190">
        <v>2660438.91</v>
      </c>
    </row>
    <row r="12" spans="1:11" ht="22.2" customHeight="1" thickTop="1" thickBot="1" x14ac:dyDescent="0.35">
      <c r="A12" s="191"/>
      <c r="B12" s="192">
        <v>0</v>
      </c>
      <c r="C12" s="193"/>
      <c r="D12" s="194"/>
      <c r="E12" s="194"/>
      <c r="F12" s="194"/>
      <c r="G12" s="194"/>
      <c r="H12" s="194"/>
      <c r="I12" s="194"/>
      <c r="J12" s="195">
        <v>0</v>
      </c>
      <c r="K12" s="196"/>
    </row>
    <row r="14" spans="1:11" x14ac:dyDescent="0.3">
      <c r="B14" s="119"/>
    </row>
    <row r="15" spans="1:11" x14ac:dyDescent="0.3">
      <c r="B15" s="120"/>
    </row>
    <row r="16" spans="1:11" x14ac:dyDescent="0.3">
      <c r="B16" s="119"/>
    </row>
    <row r="17" spans="2:2" x14ac:dyDescent="0.3">
      <c r="B17" s="119"/>
    </row>
    <row r="18" spans="2:2" x14ac:dyDescent="0.3">
      <c r="B18" s="119"/>
    </row>
    <row r="19" spans="2:2" x14ac:dyDescent="0.3">
      <c r="B19" s="119"/>
    </row>
    <row r="20" spans="2:2" x14ac:dyDescent="0.3">
      <c r="B20" s="119"/>
    </row>
    <row r="21" spans="2:2" x14ac:dyDescent="0.3">
      <c r="B21" s="119"/>
    </row>
    <row r="22" spans="2:2" x14ac:dyDescent="0.3">
      <c r="B22" s="119"/>
    </row>
    <row r="23" spans="2:2" x14ac:dyDescent="0.3">
      <c r="B23" s="119"/>
    </row>
    <row r="24" spans="2:2" x14ac:dyDescent="0.3">
      <c r="B24" s="119"/>
    </row>
  </sheetData>
  <mergeCells count="1">
    <mergeCell ref="A1:K1"/>
  </mergeCells>
  <conditionalFormatting sqref="B1:B1048576">
    <cfRule type="duplicateValues" dxfId="50" priority="1"/>
    <cfRule type="duplicateValues" dxfId="49" priority="2"/>
    <cfRule type="duplicateValues" dxfId="48" priority="3"/>
  </conditionalFormatting>
  <conditionalFormatting sqref="B4:B11">
    <cfRule type="duplicateValues" dxfId="47" priority="7834"/>
    <cfRule type="duplicateValues" dxfId="46" priority="7835"/>
  </conditionalFormatting>
  <conditionalFormatting sqref="B21:B1048576 B1:B14">
    <cfRule type="duplicateValues" dxfId="45" priority="4"/>
  </conditionalFormatting>
  <conditionalFormatting sqref="B22:B1048576 B1:B14">
    <cfRule type="duplicateValues" dxfId="44" priority="5"/>
  </conditionalFormatting>
  <conditionalFormatting sqref="B25:B1048576 B1:B13">
    <cfRule type="duplicateValues" dxfId="43" priority="7"/>
    <cfRule type="duplicateValues" dxfId="42" priority="8"/>
    <cfRule type="duplicateValues" dxfId="41" priority="9"/>
  </conditionalFormatting>
  <conditionalFormatting sqref="B25:B1048576 B1:B14">
    <cfRule type="duplicateValues" dxfId="40" priority="6"/>
  </conditionalFormatting>
  <conditionalFormatting sqref="B25:B1048576 B12:B13 B1:B3">
    <cfRule type="duplicateValues" dxfId="39" priority="13"/>
    <cfRule type="duplicateValues" dxfId="38" priority="14"/>
    <cfRule type="duplicateValues" dxfId="37" priority="15"/>
    <cfRule type="duplicateValues" dxfId="36" priority="17"/>
  </conditionalFormatting>
  <conditionalFormatting sqref="B25:B1048576">
    <cfRule type="duplicateValues" dxfId="35" priority="16"/>
    <cfRule type="duplicateValues" dxfId="34" priority="4142"/>
  </conditionalFormatting>
  <pageMargins left="0.25" right="0.25" top="0.75" bottom="0.25" header="0.05" footer="0.05"/>
  <pageSetup scale="59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view="pageBreakPreview" topLeftCell="A12" zoomScale="98" zoomScaleNormal="92" zoomScaleSheetLayoutView="100" workbookViewId="0">
      <selection activeCell="A27" sqref="A27:XFD27"/>
    </sheetView>
  </sheetViews>
  <sheetFormatPr defaultColWidth="24" defaultRowHeight="14.4" x14ac:dyDescent="0.3"/>
  <cols>
    <col min="1" max="1" width="5.21875" style="1" customWidth="1"/>
    <col min="2" max="2" width="18.44140625" style="1" customWidth="1"/>
    <col min="3" max="3" width="25.109375" style="1" customWidth="1"/>
    <col min="4" max="4" width="13.6640625" style="1" customWidth="1"/>
    <col min="5" max="5" width="13" style="1" customWidth="1"/>
    <col min="6" max="6" width="22.109375" style="1" customWidth="1"/>
    <col min="7" max="7" width="19.5546875" customWidth="1"/>
  </cols>
  <sheetData>
    <row r="1" spans="1:7" ht="39" customHeight="1" thickBot="1" x14ac:dyDescent="0.35">
      <c r="A1" s="295" t="s">
        <v>24</v>
      </c>
      <c r="B1" s="296"/>
      <c r="C1" s="296"/>
      <c r="D1" s="296"/>
      <c r="E1" s="296"/>
      <c r="F1" s="296"/>
      <c r="G1" s="297"/>
    </row>
    <row r="2" spans="1:7" x14ac:dyDescent="0.3">
      <c r="A2" s="298"/>
      <c r="B2" s="299"/>
      <c r="C2" s="299"/>
      <c r="D2" s="299"/>
      <c r="E2" s="299"/>
      <c r="F2" s="299"/>
      <c r="G2" s="300"/>
    </row>
    <row r="3" spans="1:7" s="1" customFormat="1" ht="26.4" customHeight="1" thickBot="1" x14ac:dyDescent="0.35">
      <c r="A3" s="182" t="s">
        <v>5</v>
      </c>
      <c r="B3" s="37" t="s">
        <v>16</v>
      </c>
      <c r="C3" s="37" t="s">
        <v>7</v>
      </c>
      <c r="D3" s="37" t="s">
        <v>9</v>
      </c>
      <c r="E3" s="37" t="s">
        <v>4</v>
      </c>
      <c r="F3" s="37" t="s">
        <v>99</v>
      </c>
      <c r="G3" s="185" t="s">
        <v>100</v>
      </c>
    </row>
    <row r="4" spans="1:7" s="1" customFormat="1" ht="19.8" customHeight="1" thickTop="1" thickBot="1" x14ac:dyDescent="0.35">
      <c r="A4" s="186">
        <f>ROW()-3</f>
        <v>1</v>
      </c>
      <c r="B4" s="46" t="s">
        <v>77</v>
      </c>
      <c r="C4" s="46" t="s">
        <v>78</v>
      </c>
      <c r="D4" s="46">
        <v>195</v>
      </c>
      <c r="E4" s="46">
        <v>0</v>
      </c>
      <c r="F4" s="198">
        <v>17219572.91</v>
      </c>
      <c r="G4" s="199">
        <v>1721957.29</v>
      </c>
    </row>
    <row r="5" spans="1:7" s="1" customFormat="1" ht="19.8" customHeight="1" thickTop="1" thickBot="1" x14ac:dyDescent="0.35">
      <c r="A5" s="186">
        <f t="shared" ref="A5:A26" si="0">ROW()-3</f>
        <v>2</v>
      </c>
      <c r="B5" s="46" t="s">
        <v>80</v>
      </c>
      <c r="C5" s="46" t="s">
        <v>78</v>
      </c>
      <c r="D5" s="46">
        <v>195</v>
      </c>
      <c r="E5" s="46">
        <v>0</v>
      </c>
      <c r="F5" s="200">
        <v>17604474.579999998</v>
      </c>
      <c r="G5" s="201">
        <v>1760447.46</v>
      </c>
    </row>
    <row r="6" spans="1:7" s="1" customFormat="1" ht="19.8" customHeight="1" thickTop="1" thickBot="1" x14ac:dyDescent="0.35">
      <c r="A6" s="186">
        <f t="shared" si="0"/>
        <v>3</v>
      </c>
      <c r="B6" s="46" t="s">
        <v>81</v>
      </c>
      <c r="C6" s="46" t="s">
        <v>78</v>
      </c>
      <c r="D6" s="46">
        <v>195</v>
      </c>
      <c r="E6" s="46">
        <v>0</v>
      </c>
      <c r="F6" s="200">
        <v>17702747.350000001</v>
      </c>
      <c r="G6" s="201">
        <v>1770274.74</v>
      </c>
    </row>
    <row r="7" spans="1:7" s="1" customFormat="1" ht="19.8" customHeight="1" thickTop="1" thickBot="1" x14ac:dyDescent="0.35">
      <c r="A7" s="186">
        <f t="shared" si="0"/>
        <v>4</v>
      </c>
      <c r="B7" s="46" t="s">
        <v>82</v>
      </c>
      <c r="C7" s="46" t="s">
        <v>78</v>
      </c>
      <c r="D7" s="46">
        <v>195</v>
      </c>
      <c r="E7" s="46">
        <v>0</v>
      </c>
      <c r="F7" s="200">
        <v>16710586.99</v>
      </c>
      <c r="G7" s="201">
        <v>1671058.7</v>
      </c>
    </row>
    <row r="8" spans="1:7" s="1" customFormat="1" ht="19.8" customHeight="1" thickTop="1" thickBot="1" x14ac:dyDescent="0.35">
      <c r="A8" s="186">
        <f t="shared" si="0"/>
        <v>5</v>
      </c>
      <c r="B8" s="46" t="s">
        <v>83</v>
      </c>
      <c r="C8" s="46" t="s">
        <v>78</v>
      </c>
      <c r="D8" s="46">
        <v>195</v>
      </c>
      <c r="E8" s="46">
        <v>0</v>
      </c>
      <c r="F8" s="200">
        <v>16612800.720000001</v>
      </c>
      <c r="G8" s="201">
        <v>1661280.07</v>
      </c>
    </row>
    <row r="9" spans="1:7" s="1" customFormat="1" ht="19.8" customHeight="1" thickTop="1" thickBot="1" x14ac:dyDescent="0.35">
      <c r="A9" s="186">
        <f t="shared" si="0"/>
        <v>6</v>
      </c>
      <c r="B9" s="46" t="s">
        <v>84</v>
      </c>
      <c r="C9" s="46" t="s">
        <v>78</v>
      </c>
      <c r="D9" s="46">
        <v>195</v>
      </c>
      <c r="E9" s="46">
        <v>0</v>
      </c>
      <c r="F9" s="200">
        <v>17317845.670000002</v>
      </c>
      <c r="G9" s="201">
        <v>1731784.57</v>
      </c>
    </row>
    <row r="10" spans="1:7" s="1" customFormat="1" ht="19.8" customHeight="1" thickTop="1" thickBot="1" x14ac:dyDescent="0.35">
      <c r="A10" s="186">
        <f t="shared" si="0"/>
        <v>7</v>
      </c>
      <c r="B10" s="46" t="s">
        <v>56</v>
      </c>
      <c r="C10" s="46" t="s">
        <v>78</v>
      </c>
      <c r="D10" s="46">
        <v>195</v>
      </c>
      <c r="E10" s="46">
        <v>0</v>
      </c>
      <c r="F10" s="200">
        <v>16827030.68</v>
      </c>
      <c r="G10" s="201">
        <v>1682703.07</v>
      </c>
    </row>
    <row r="11" spans="1:7" s="1" customFormat="1" ht="19.8" customHeight="1" thickTop="1" thickBot="1" x14ac:dyDescent="0.35">
      <c r="A11" s="186">
        <f t="shared" si="0"/>
        <v>8</v>
      </c>
      <c r="B11" s="46" t="s">
        <v>85</v>
      </c>
      <c r="C11" s="46" t="s">
        <v>78</v>
      </c>
      <c r="D11" s="46">
        <v>195</v>
      </c>
      <c r="E11" s="46">
        <v>0</v>
      </c>
      <c r="F11" s="200">
        <v>17211248.370000001</v>
      </c>
      <c r="G11" s="201">
        <v>1721124.84</v>
      </c>
    </row>
    <row r="12" spans="1:7" s="1" customFormat="1" ht="19.8" customHeight="1" thickTop="1" thickBot="1" x14ac:dyDescent="0.35">
      <c r="A12" s="186">
        <f>ROW()-3</f>
        <v>9</v>
      </c>
      <c r="B12" s="46" t="s">
        <v>257</v>
      </c>
      <c r="C12" s="46" t="s">
        <v>79</v>
      </c>
      <c r="D12" s="46">
        <v>168</v>
      </c>
      <c r="E12" s="46">
        <v>0</v>
      </c>
      <c r="F12" s="200">
        <v>15506796.640000001</v>
      </c>
      <c r="G12" s="201">
        <v>1550679.66</v>
      </c>
    </row>
    <row r="13" spans="1:7" s="1" customFormat="1" ht="19.8" customHeight="1" thickTop="1" thickBot="1" x14ac:dyDescent="0.35">
      <c r="A13" s="186">
        <f t="shared" si="0"/>
        <v>10</v>
      </c>
      <c r="B13" s="46" t="s">
        <v>57</v>
      </c>
      <c r="C13" s="46" t="s">
        <v>78</v>
      </c>
      <c r="D13" s="46">
        <v>195</v>
      </c>
      <c r="E13" s="46">
        <v>0</v>
      </c>
      <c r="F13" s="200">
        <v>16932768.699999999</v>
      </c>
      <c r="G13" s="201">
        <v>1693276.87</v>
      </c>
    </row>
    <row r="14" spans="1:7" s="1" customFormat="1" ht="19.8" customHeight="1" thickTop="1" thickBot="1" x14ac:dyDescent="0.35">
      <c r="A14" s="186">
        <f t="shared" si="0"/>
        <v>11</v>
      </c>
      <c r="B14" s="46" t="s">
        <v>95</v>
      </c>
      <c r="C14" s="46" t="s">
        <v>79</v>
      </c>
      <c r="D14" s="46">
        <v>168</v>
      </c>
      <c r="E14" s="46">
        <v>0</v>
      </c>
      <c r="F14" s="200">
        <v>17018658.699999999</v>
      </c>
      <c r="G14" s="201">
        <v>1701865.87</v>
      </c>
    </row>
    <row r="15" spans="1:7" s="1" customFormat="1" ht="19.8" customHeight="1" thickTop="1" thickBot="1" x14ac:dyDescent="0.35">
      <c r="A15" s="186">
        <f t="shared" si="0"/>
        <v>12</v>
      </c>
      <c r="B15" s="46" t="s">
        <v>58</v>
      </c>
      <c r="C15" s="46" t="s">
        <v>78</v>
      </c>
      <c r="D15" s="46">
        <v>195</v>
      </c>
      <c r="E15" s="46">
        <v>0</v>
      </c>
      <c r="F15" s="200">
        <v>16964299.190000001</v>
      </c>
      <c r="G15" s="201">
        <v>1696429.92</v>
      </c>
    </row>
    <row r="16" spans="1:7" s="1" customFormat="1" ht="19.8" customHeight="1" thickTop="1" thickBot="1" x14ac:dyDescent="0.35">
      <c r="A16" s="186">
        <f t="shared" si="0"/>
        <v>13</v>
      </c>
      <c r="B16" s="46" t="s">
        <v>59</v>
      </c>
      <c r="C16" s="46" t="s">
        <v>78</v>
      </c>
      <c r="D16" s="46">
        <v>197</v>
      </c>
      <c r="E16" s="46">
        <v>0</v>
      </c>
      <c r="F16" s="200">
        <v>18059769.68</v>
      </c>
      <c r="G16" s="201">
        <v>1805976.97</v>
      </c>
    </row>
    <row r="17" spans="1:7" s="1" customFormat="1" ht="19.8" customHeight="1" thickTop="1" thickBot="1" x14ac:dyDescent="0.35">
      <c r="A17" s="186">
        <f t="shared" si="0"/>
        <v>14</v>
      </c>
      <c r="B17" s="46" t="s">
        <v>86</v>
      </c>
      <c r="C17" s="46" t="s">
        <v>78</v>
      </c>
      <c r="D17" s="46">
        <v>195</v>
      </c>
      <c r="E17" s="46">
        <v>0</v>
      </c>
      <c r="F17" s="200">
        <v>18053532.949999999</v>
      </c>
      <c r="G17" s="201">
        <v>1805353.29</v>
      </c>
    </row>
    <row r="18" spans="1:7" s="1" customFormat="1" ht="19.8" customHeight="1" thickTop="1" thickBot="1" x14ac:dyDescent="0.35">
      <c r="A18" s="186">
        <f t="shared" si="0"/>
        <v>15</v>
      </c>
      <c r="B18" s="46" t="s">
        <v>87</v>
      </c>
      <c r="C18" s="46" t="s">
        <v>78</v>
      </c>
      <c r="D18" s="46">
        <v>197</v>
      </c>
      <c r="E18" s="46">
        <v>0</v>
      </c>
      <c r="F18" s="200">
        <v>18274482.93</v>
      </c>
      <c r="G18" s="201">
        <v>1827448.29</v>
      </c>
    </row>
    <row r="19" spans="1:7" s="1" customFormat="1" ht="19.8" customHeight="1" thickTop="1" thickBot="1" x14ac:dyDescent="0.35">
      <c r="A19" s="186">
        <f t="shared" si="0"/>
        <v>16</v>
      </c>
      <c r="B19" s="46" t="s">
        <v>88</v>
      </c>
      <c r="C19" s="46" t="s">
        <v>78</v>
      </c>
      <c r="D19" s="46">
        <v>197</v>
      </c>
      <c r="E19" s="46">
        <v>0</v>
      </c>
      <c r="F19" s="200">
        <v>18381839.550000001</v>
      </c>
      <c r="G19" s="201">
        <v>1838183.96</v>
      </c>
    </row>
    <row r="20" spans="1:7" s="1" customFormat="1" ht="19.8" customHeight="1" thickTop="1" thickBot="1" x14ac:dyDescent="0.35">
      <c r="A20" s="186">
        <f t="shared" si="0"/>
        <v>17</v>
      </c>
      <c r="B20" s="46" t="s">
        <v>89</v>
      </c>
      <c r="C20" s="46" t="s">
        <v>78</v>
      </c>
      <c r="D20" s="46">
        <v>197</v>
      </c>
      <c r="E20" s="46">
        <v>0</v>
      </c>
      <c r="F20" s="200">
        <v>18435517.859999999</v>
      </c>
      <c r="G20" s="201">
        <v>1843551.79</v>
      </c>
    </row>
    <row r="21" spans="1:7" s="1" customFormat="1" ht="19.8" customHeight="1" thickTop="1" thickBot="1" x14ac:dyDescent="0.35">
      <c r="A21" s="186">
        <f t="shared" si="0"/>
        <v>18</v>
      </c>
      <c r="B21" s="46" t="s">
        <v>90</v>
      </c>
      <c r="C21" s="46" t="s">
        <v>78</v>
      </c>
      <c r="D21" s="46">
        <v>195</v>
      </c>
      <c r="E21" s="46">
        <v>0</v>
      </c>
      <c r="F21" s="200">
        <v>18053532.949999999</v>
      </c>
      <c r="G21" s="201">
        <v>1805353.29</v>
      </c>
    </row>
    <row r="22" spans="1:7" s="1" customFormat="1" ht="19.8" customHeight="1" thickTop="1" thickBot="1" x14ac:dyDescent="0.35">
      <c r="A22" s="186">
        <f t="shared" si="0"/>
        <v>19</v>
      </c>
      <c r="B22" s="46" t="s">
        <v>114</v>
      </c>
      <c r="C22" s="46" t="s">
        <v>78</v>
      </c>
      <c r="D22" s="46">
        <v>195</v>
      </c>
      <c r="E22" s="46">
        <v>0</v>
      </c>
      <c r="F22" s="200">
        <v>18938863.949999999</v>
      </c>
      <c r="G22" s="201">
        <v>1893886.39</v>
      </c>
    </row>
    <row r="23" spans="1:7" s="1" customFormat="1" ht="19.8" customHeight="1" thickTop="1" thickBot="1" x14ac:dyDescent="0.35">
      <c r="A23" s="186">
        <f t="shared" si="0"/>
        <v>20</v>
      </c>
      <c r="B23" s="46" t="s">
        <v>91</v>
      </c>
      <c r="C23" s="46" t="s">
        <v>78</v>
      </c>
      <c r="D23" s="46">
        <v>195</v>
      </c>
      <c r="E23" s="46">
        <v>0</v>
      </c>
      <c r="F23" s="200">
        <v>18584866.489999998</v>
      </c>
      <c r="G23" s="201">
        <v>1858486.65</v>
      </c>
    </row>
    <row r="24" spans="1:7" s="1" customFormat="1" ht="19.8" customHeight="1" thickTop="1" thickBot="1" x14ac:dyDescent="0.35">
      <c r="A24" s="186">
        <f t="shared" si="0"/>
        <v>21</v>
      </c>
      <c r="B24" s="46" t="s">
        <v>92</v>
      </c>
      <c r="C24" s="46" t="s">
        <v>78</v>
      </c>
      <c r="D24" s="46">
        <v>197</v>
      </c>
      <c r="E24" s="46">
        <v>0</v>
      </c>
      <c r="F24" s="200">
        <v>18059769.68</v>
      </c>
      <c r="G24" s="201">
        <v>1805976.97</v>
      </c>
    </row>
    <row r="25" spans="1:7" s="1" customFormat="1" ht="19.8" customHeight="1" thickTop="1" thickBot="1" x14ac:dyDescent="0.35">
      <c r="A25" s="186">
        <f t="shared" si="0"/>
        <v>22</v>
      </c>
      <c r="B25" s="46" t="s">
        <v>93</v>
      </c>
      <c r="C25" s="46" t="s">
        <v>78</v>
      </c>
      <c r="D25" s="46">
        <v>195</v>
      </c>
      <c r="E25" s="46">
        <v>0</v>
      </c>
      <c r="F25" s="200">
        <v>18159799.66</v>
      </c>
      <c r="G25" s="201">
        <v>1815979.97</v>
      </c>
    </row>
    <row r="26" spans="1:7" s="1" customFormat="1" ht="19.8" customHeight="1" thickTop="1" thickBot="1" x14ac:dyDescent="0.35">
      <c r="A26" s="186">
        <f t="shared" si="0"/>
        <v>23</v>
      </c>
      <c r="B26" s="46" t="s">
        <v>94</v>
      </c>
      <c r="C26" s="46" t="s">
        <v>78</v>
      </c>
      <c r="D26" s="46">
        <v>195</v>
      </c>
      <c r="E26" s="46">
        <v>0</v>
      </c>
      <c r="F26" s="202">
        <v>17422482.579999998</v>
      </c>
      <c r="G26" s="203">
        <v>1742248.26</v>
      </c>
    </row>
    <row r="27" spans="1:7" ht="15" thickTop="1" x14ac:dyDescent="0.3">
      <c r="A27" s="3"/>
      <c r="C27" s="3"/>
      <c r="D27" s="3"/>
      <c r="E27" s="3"/>
      <c r="F27" s="3"/>
    </row>
    <row r="28" spans="1:7" x14ac:dyDescent="0.3">
      <c r="A28" s="3"/>
      <c r="C28" s="3"/>
      <c r="D28" s="3"/>
      <c r="E28" s="3"/>
      <c r="F28" s="3"/>
    </row>
    <row r="29" spans="1:7" x14ac:dyDescent="0.3">
      <c r="C29" s="3"/>
      <c r="D29" s="3"/>
      <c r="E29" s="3"/>
    </row>
  </sheetData>
  <mergeCells count="2">
    <mergeCell ref="A1:G1"/>
    <mergeCell ref="A2:G2"/>
  </mergeCells>
  <conditionalFormatting sqref="A3">
    <cfRule type="duplicateValues" dxfId="33" priority="7"/>
    <cfRule type="duplicateValues" dxfId="32" priority="8"/>
    <cfRule type="duplicateValues" dxfId="31" priority="9"/>
  </conditionalFormatting>
  <conditionalFormatting sqref="B1:B1048576">
    <cfRule type="duplicateValues" dxfId="30" priority="1"/>
  </conditionalFormatting>
  <conditionalFormatting sqref="B3 G3">
    <cfRule type="duplicateValues" dxfId="29" priority="13"/>
    <cfRule type="duplicateValues" dxfId="28" priority="14"/>
    <cfRule type="duplicateValues" dxfId="27" priority="15"/>
  </conditionalFormatting>
  <conditionalFormatting sqref="B4:B26">
    <cfRule type="duplicateValues" dxfId="26" priority="5340"/>
    <cfRule type="duplicateValues" dxfId="25" priority="5341"/>
    <cfRule type="duplicateValues" dxfId="24" priority="5342"/>
  </conditionalFormatting>
  <conditionalFormatting sqref="B27:B1048576">
    <cfRule type="duplicateValues" dxfId="23" priority="24"/>
    <cfRule type="duplicateValues" dxfId="22" priority="4486"/>
    <cfRule type="duplicateValues" dxfId="21" priority="4489"/>
    <cfRule type="duplicateValues" dxfId="20" priority="4491"/>
    <cfRule type="duplicateValues" dxfId="19" priority="4492"/>
  </conditionalFormatting>
  <conditionalFormatting sqref="C30:C1048576">
    <cfRule type="duplicateValues" dxfId="18" priority="3699"/>
  </conditionalFormatting>
  <pageMargins left="0.25" right="0.25" top="0.5" bottom="0" header="0.3" footer="0.05"/>
  <pageSetup scale="88" fitToHeight="0" orientation="portrait" r:id="rId1"/>
  <rowBreaks count="1" manualBreakCount="1">
    <brk id="26" max="16383" man="1"/>
  </rowBreaks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FE23-806B-4212-AF64-B5A30B4084BD}">
  <sheetPr>
    <pageSetUpPr fitToPage="1"/>
  </sheetPr>
  <dimension ref="A1:J76"/>
  <sheetViews>
    <sheetView view="pageBreakPreview" topLeftCell="A22" zoomScale="80" zoomScaleNormal="82" zoomScaleSheetLayoutView="100" workbookViewId="0">
      <selection activeCell="A31" sqref="A31:XFD31"/>
    </sheetView>
  </sheetViews>
  <sheetFormatPr defaultColWidth="19.33203125" defaultRowHeight="15" customHeight="1" x14ac:dyDescent="0.3"/>
  <cols>
    <col min="1" max="1" width="4.5546875" style="1" customWidth="1"/>
    <col min="2" max="2" width="19.88671875" style="1" customWidth="1"/>
    <col min="3" max="3" width="17.6640625" style="1" customWidth="1"/>
    <col min="4" max="4" width="13.33203125" style="1" customWidth="1"/>
    <col min="5" max="5" width="18.5546875" style="1" customWidth="1"/>
    <col min="6" max="6" width="13.5546875" style="1" customWidth="1"/>
    <col min="7" max="7" width="14.33203125" style="2" customWidth="1"/>
    <col min="8" max="8" width="14.5546875" style="2" customWidth="1"/>
    <col min="9" max="9" width="22.88671875" style="1" customWidth="1"/>
    <col min="10" max="10" width="17.6640625" style="1" customWidth="1"/>
    <col min="11" max="16384" width="19.33203125" style="1"/>
  </cols>
  <sheetData>
    <row r="1" spans="1:10" ht="42.6" customHeight="1" x14ac:dyDescent="0.3">
      <c r="A1" s="268" t="s">
        <v>32</v>
      </c>
      <c r="B1" s="268"/>
      <c r="C1" s="268"/>
      <c r="D1" s="268"/>
      <c r="E1" s="268"/>
      <c r="F1" s="268"/>
      <c r="G1" s="268"/>
      <c r="H1" s="268"/>
      <c r="I1" s="268"/>
      <c r="J1" s="268"/>
    </row>
    <row r="2" spans="1:10" s="8" customFormat="1" ht="15.6" customHeight="1" x14ac:dyDescent="0.3">
      <c r="A2" s="267"/>
      <c r="B2" s="267"/>
      <c r="C2" s="267"/>
      <c r="D2" s="267"/>
      <c r="E2" s="267"/>
      <c r="F2" s="267"/>
      <c r="G2" s="267"/>
      <c r="H2" s="267"/>
      <c r="I2" s="267"/>
      <c r="J2" s="267"/>
    </row>
    <row r="3" spans="1:10" ht="34.200000000000003" customHeight="1" thickBot="1" x14ac:dyDescent="0.35">
      <c r="A3" s="36" t="s">
        <v>5</v>
      </c>
      <c r="B3" s="97" t="s">
        <v>11</v>
      </c>
      <c r="C3" s="97" t="s">
        <v>8</v>
      </c>
      <c r="D3" s="97" t="s">
        <v>13</v>
      </c>
      <c r="E3" s="97" t="s">
        <v>44</v>
      </c>
      <c r="F3" s="97" t="s">
        <v>45</v>
      </c>
      <c r="G3" s="98" t="s">
        <v>4</v>
      </c>
      <c r="H3" s="98" t="s">
        <v>67</v>
      </c>
      <c r="I3" s="99" t="s">
        <v>46</v>
      </c>
      <c r="J3" s="97" t="s">
        <v>150</v>
      </c>
    </row>
    <row r="4" spans="1:10" ht="28.2" customHeight="1" thickTop="1" thickBot="1" x14ac:dyDescent="0.35">
      <c r="A4" s="14">
        <f t="shared" ref="A4:A30" si="0">ROW()-3</f>
        <v>1</v>
      </c>
      <c r="B4" s="103" t="s">
        <v>151</v>
      </c>
      <c r="C4" s="103" t="s">
        <v>115</v>
      </c>
      <c r="D4" s="103" t="s">
        <v>152</v>
      </c>
      <c r="E4" s="103" t="s">
        <v>153</v>
      </c>
      <c r="F4" s="103">
        <v>176</v>
      </c>
      <c r="G4" s="103">
        <v>226.38489999999999</v>
      </c>
      <c r="H4" s="103">
        <v>0</v>
      </c>
      <c r="I4" s="104">
        <v>22479914</v>
      </c>
      <c r="J4" s="104">
        <v>1123995.7</v>
      </c>
    </row>
    <row r="5" spans="1:10" ht="28.2" customHeight="1" thickTop="1" thickBot="1" x14ac:dyDescent="0.35">
      <c r="A5" s="127">
        <f t="shared" si="0"/>
        <v>2</v>
      </c>
      <c r="B5" s="103" t="s">
        <v>154</v>
      </c>
      <c r="C5" s="128" t="s">
        <v>115</v>
      </c>
      <c r="D5" s="103" t="s">
        <v>152</v>
      </c>
      <c r="E5" s="103" t="s">
        <v>153</v>
      </c>
      <c r="F5" s="103">
        <v>170</v>
      </c>
      <c r="G5" s="103">
        <v>93.882900000000006</v>
      </c>
      <c r="H5" s="103">
        <v>0</v>
      </c>
      <c r="I5" s="129">
        <v>17917782</v>
      </c>
      <c r="J5" s="129">
        <v>895889.1</v>
      </c>
    </row>
    <row r="6" spans="1:10" ht="28.2" customHeight="1" thickTop="1" thickBot="1" x14ac:dyDescent="0.35">
      <c r="A6" s="127">
        <f t="shared" si="0"/>
        <v>3</v>
      </c>
      <c r="B6" s="103" t="s">
        <v>155</v>
      </c>
      <c r="C6" s="128" t="s">
        <v>115</v>
      </c>
      <c r="D6" s="103" t="s">
        <v>156</v>
      </c>
      <c r="E6" s="103" t="s">
        <v>153</v>
      </c>
      <c r="F6" s="103">
        <v>176</v>
      </c>
      <c r="G6" s="103">
        <v>0</v>
      </c>
      <c r="H6" s="103">
        <v>0</v>
      </c>
      <c r="I6" s="129">
        <v>16301592</v>
      </c>
      <c r="J6" s="129">
        <v>815079.6</v>
      </c>
    </row>
    <row r="7" spans="1:10" ht="28.2" customHeight="1" thickTop="1" thickBot="1" x14ac:dyDescent="0.35">
      <c r="A7" s="127">
        <f t="shared" si="0"/>
        <v>4</v>
      </c>
      <c r="B7" s="103" t="s">
        <v>407</v>
      </c>
      <c r="C7" s="128" t="s">
        <v>115</v>
      </c>
      <c r="D7" s="103" t="s">
        <v>156</v>
      </c>
      <c r="E7" s="103" t="s">
        <v>157</v>
      </c>
      <c r="F7" s="103">
        <v>165</v>
      </c>
      <c r="G7" s="103">
        <v>0</v>
      </c>
      <c r="H7" s="103">
        <v>0</v>
      </c>
      <c r="I7" s="129">
        <v>14994956</v>
      </c>
      <c r="J7" s="129">
        <v>749747.8</v>
      </c>
    </row>
    <row r="8" spans="1:10" ht="28.2" customHeight="1" thickTop="1" thickBot="1" x14ac:dyDescent="0.35">
      <c r="A8" s="127">
        <f t="shared" si="0"/>
        <v>5</v>
      </c>
      <c r="B8" s="103" t="s">
        <v>158</v>
      </c>
      <c r="C8" s="128" t="s">
        <v>115</v>
      </c>
      <c r="D8" s="103" t="s">
        <v>156</v>
      </c>
      <c r="E8" s="103" t="s">
        <v>157</v>
      </c>
      <c r="F8" s="103">
        <v>145</v>
      </c>
      <c r="G8" s="103">
        <v>0</v>
      </c>
      <c r="H8" s="103">
        <v>0</v>
      </c>
      <c r="I8" s="129">
        <v>12133465</v>
      </c>
      <c r="J8" s="129">
        <v>606673.25</v>
      </c>
    </row>
    <row r="9" spans="1:10" ht="28.2" customHeight="1" thickTop="1" thickBot="1" x14ac:dyDescent="0.35">
      <c r="A9" s="127">
        <f t="shared" si="0"/>
        <v>6</v>
      </c>
      <c r="B9" s="103" t="s">
        <v>159</v>
      </c>
      <c r="C9" s="128" t="s">
        <v>115</v>
      </c>
      <c r="D9" s="103" t="s">
        <v>29</v>
      </c>
      <c r="E9" s="103" t="s">
        <v>153</v>
      </c>
      <c r="F9" s="103">
        <v>177</v>
      </c>
      <c r="G9" s="103">
        <v>0</v>
      </c>
      <c r="H9" s="103">
        <v>0</v>
      </c>
      <c r="I9" s="129">
        <v>16166911</v>
      </c>
      <c r="J9" s="104">
        <v>808345.55</v>
      </c>
    </row>
    <row r="10" spans="1:10" ht="28.2" customHeight="1" thickTop="1" thickBot="1" x14ac:dyDescent="0.35">
      <c r="A10" s="127">
        <f t="shared" si="0"/>
        <v>7</v>
      </c>
      <c r="B10" s="103" t="s">
        <v>160</v>
      </c>
      <c r="C10" s="128" t="s">
        <v>115</v>
      </c>
      <c r="D10" s="103" t="s">
        <v>29</v>
      </c>
      <c r="E10" s="103" t="s">
        <v>157</v>
      </c>
      <c r="F10" s="103">
        <v>142</v>
      </c>
      <c r="G10" s="103">
        <v>0</v>
      </c>
      <c r="H10" s="103">
        <v>0</v>
      </c>
      <c r="I10" s="129">
        <v>11901794</v>
      </c>
      <c r="J10" s="129">
        <v>595089.69999999995</v>
      </c>
    </row>
    <row r="11" spans="1:10" ht="28.2" customHeight="1" thickTop="1" thickBot="1" x14ac:dyDescent="0.35">
      <c r="A11" s="127">
        <f t="shared" si="0"/>
        <v>8</v>
      </c>
      <c r="B11" s="103" t="s">
        <v>161</v>
      </c>
      <c r="C11" s="128" t="s">
        <v>115</v>
      </c>
      <c r="D11" s="103" t="s">
        <v>30</v>
      </c>
      <c r="E11" s="103" t="s">
        <v>153</v>
      </c>
      <c r="F11" s="103">
        <v>177</v>
      </c>
      <c r="G11" s="103">
        <v>0</v>
      </c>
      <c r="H11" s="103">
        <v>0</v>
      </c>
      <c r="I11" s="129">
        <v>16248324</v>
      </c>
      <c r="J11" s="129">
        <v>812416.2</v>
      </c>
    </row>
    <row r="12" spans="1:10" ht="28.2" customHeight="1" thickTop="1" thickBot="1" x14ac:dyDescent="0.35">
      <c r="A12" s="127">
        <f t="shared" si="0"/>
        <v>9</v>
      </c>
      <c r="B12" s="103" t="s">
        <v>162</v>
      </c>
      <c r="C12" s="128" t="s">
        <v>115</v>
      </c>
      <c r="D12" s="103" t="s">
        <v>30</v>
      </c>
      <c r="E12" s="103" t="s">
        <v>157</v>
      </c>
      <c r="F12" s="103">
        <v>142</v>
      </c>
      <c r="G12" s="103">
        <v>0</v>
      </c>
      <c r="H12" s="103">
        <v>0</v>
      </c>
      <c r="I12" s="129">
        <v>11921161</v>
      </c>
      <c r="J12" s="104">
        <v>596058.05000000005</v>
      </c>
    </row>
    <row r="13" spans="1:10" ht="28.2" customHeight="1" thickTop="1" thickBot="1" x14ac:dyDescent="0.35">
      <c r="A13" s="127">
        <f t="shared" si="0"/>
        <v>10</v>
      </c>
      <c r="B13" s="103" t="s">
        <v>163</v>
      </c>
      <c r="C13" s="128" t="s">
        <v>115</v>
      </c>
      <c r="D13" s="103" t="s">
        <v>31</v>
      </c>
      <c r="E13" s="103" t="s">
        <v>153</v>
      </c>
      <c r="F13" s="103">
        <v>177</v>
      </c>
      <c r="G13" s="103">
        <v>0</v>
      </c>
      <c r="H13" s="103">
        <v>0</v>
      </c>
      <c r="I13" s="129">
        <v>16329737</v>
      </c>
      <c r="J13" s="129">
        <v>816486.85</v>
      </c>
    </row>
    <row r="14" spans="1:10" ht="28.2" customHeight="1" thickTop="1" thickBot="1" x14ac:dyDescent="0.35">
      <c r="A14" s="127">
        <f t="shared" si="0"/>
        <v>11</v>
      </c>
      <c r="B14" s="103" t="s">
        <v>164</v>
      </c>
      <c r="C14" s="128" t="s">
        <v>115</v>
      </c>
      <c r="D14" s="103" t="s">
        <v>165</v>
      </c>
      <c r="E14" s="103" t="s">
        <v>153</v>
      </c>
      <c r="F14" s="103">
        <v>176</v>
      </c>
      <c r="G14" s="103">
        <v>0</v>
      </c>
      <c r="H14" s="103">
        <v>0</v>
      </c>
      <c r="I14" s="129">
        <v>16584928</v>
      </c>
      <c r="J14" s="129">
        <v>829246.4</v>
      </c>
    </row>
    <row r="15" spans="1:10" ht="28.2" customHeight="1" thickTop="1" thickBot="1" x14ac:dyDescent="0.35">
      <c r="A15" s="127">
        <f t="shared" si="0"/>
        <v>12</v>
      </c>
      <c r="B15" s="103" t="s">
        <v>166</v>
      </c>
      <c r="C15" s="128" t="s">
        <v>115</v>
      </c>
      <c r="D15" s="103" t="s">
        <v>165</v>
      </c>
      <c r="E15" s="103" t="s">
        <v>153</v>
      </c>
      <c r="F15" s="103">
        <v>186</v>
      </c>
      <c r="G15" s="103">
        <v>0</v>
      </c>
      <c r="H15" s="103">
        <v>0</v>
      </c>
      <c r="I15" s="129">
        <v>17287469</v>
      </c>
      <c r="J15" s="129">
        <v>864373.45</v>
      </c>
    </row>
    <row r="16" spans="1:10" ht="28.2" customHeight="1" thickTop="1" thickBot="1" x14ac:dyDescent="0.35">
      <c r="A16" s="127">
        <f t="shared" si="0"/>
        <v>13</v>
      </c>
      <c r="B16" s="103" t="s">
        <v>167</v>
      </c>
      <c r="C16" s="128" t="s">
        <v>115</v>
      </c>
      <c r="D16" s="103" t="s">
        <v>165</v>
      </c>
      <c r="E16" s="103" t="s">
        <v>153</v>
      </c>
      <c r="F16" s="103">
        <v>177</v>
      </c>
      <c r="G16" s="103">
        <v>0</v>
      </c>
      <c r="H16" s="103">
        <v>0</v>
      </c>
      <c r="I16" s="129">
        <v>16370443</v>
      </c>
      <c r="J16" s="104">
        <v>818522.15</v>
      </c>
    </row>
    <row r="17" spans="1:10" ht="28.2" customHeight="1" thickTop="1" thickBot="1" x14ac:dyDescent="0.35">
      <c r="A17" s="127">
        <f t="shared" si="0"/>
        <v>14</v>
      </c>
      <c r="B17" s="103" t="s">
        <v>168</v>
      </c>
      <c r="C17" s="128" t="s">
        <v>115</v>
      </c>
      <c r="D17" s="103" t="s">
        <v>165</v>
      </c>
      <c r="E17" s="103" t="s">
        <v>157</v>
      </c>
      <c r="F17" s="103">
        <v>142</v>
      </c>
      <c r="G17" s="103">
        <v>0</v>
      </c>
      <c r="H17" s="103">
        <v>0</v>
      </c>
      <c r="I17" s="129">
        <v>11950210</v>
      </c>
      <c r="J17" s="129">
        <v>597510.5</v>
      </c>
    </row>
    <row r="18" spans="1:10" ht="28.2" customHeight="1" thickTop="1" thickBot="1" x14ac:dyDescent="0.35">
      <c r="A18" s="127">
        <f t="shared" si="0"/>
        <v>15</v>
      </c>
      <c r="B18" s="103" t="s">
        <v>171</v>
      </c>
      <c r="C18" s="128" t="s">
        <v>169</v>
      </c>
      <c r="D18" s="103" t="s">
        <v>170</v>
      </c>
      <c r="E18" s="103" t="s">
        <v>153</v>
      </c>
      <c r="F18" s="103">
        <v>240</v>
      </c>
      <c r="G18" s="103">
        <v>0</v>
      </c>
      <c r="H18" s="103">
        <v>85.14</v>
      </c>
      <c r="I18" s="129">
        <v>24655624</v>
      </c>
      <c r="J18" s="129">
        <v>1232781.2</v>
      </c>
    </row>
    <row r="19" spans="1:10" ht="28.2" customHeight="1" thickTop="1" thickBot="1" x14ac:dyDescent="0.35">
      <c r="A19" s="127">
        <f t="shared" si="0"/>
        <v>16</v>
      </c>
      <c r="B19" s="103" t="s">
        <v>172</v>
      </c>
      <c r="C19" s="128" t="s">
        <v>115</v>
      </c>
      <c r="D19" s="103" t="s">
        <v>152</v>
      </c>
      <c r="E19" s="103" t="s">
        <v>153</v>
      </c>
      <c r="F19" s="103">
        <v>185</v>
      </c>
      <c r="G19" s="103">
        <v>171.7097</v>
      </c>
      <c r="H19" s="103">
        <v>0</v>
      </c>
      <c r="I19" s="129">
        <v>21797674</v>
      </c>
      <c r="J19" s="104">
        <v>1089883.7</v>
      </c>
    </row>
    <row r="20" spans="1:10" ht="28.2" customHeight="1" thickTop="1" thickBot="1" x14ac:dyDescent="0.35">
      <c r="A20" s="127">
        <f t="shared" si="0"/>
        <v>17</v>
      </c>
      <c r="B20" s="103" t="s">
        <v>173</v>
      </c>
      <c r="C20" s="128" t="s">
        <v>115</v>
      </c>
      <c r="D20" s="103" t="s">
        <v>152</v>
      </c>
      <c r="E20" s="103" t="s">
        <v>153</v>
      </c>
      <c r="F20" s="103">
        <v>179</v>
      </c>
      <c r="G20" s="103">
        <v>86.025599999999997</v>
      </c>
      <c r="H20" s="103">
        <v>0</v>
      </c>
      <c r="I20" s="129">
        <v>18556104</v>
      </c>
      <c r="J20" s="129">
        <v>927805.2</v>
      </c>
    </row>
    <row r="21" spans="1:10" ht="28.2" customHeight="1" thickTop="1" thickBot="1" x14ac:dyDescent="0.35">
      <c r="A21" s="127">
        <f t="shared" si="0"/>
        <v>18</v>
      </c>
      <c r="B21" s="103" t="s">
        <v>174</v>
      </c>
      <c r="C21" s="128" t="s">
        <v>115</v>
      </c>
      <c r="D21" s="103" t="s">
        <v>156</v>
      </c>
      <c r="E21" s="103" t="s">
        <v>153</v>
      </c>
      <c r="F21" s="103">
        <v>186</v>
      </c>
      <c r="G21" s="103">
        <v>0</v>
      </c>
      <c r="H21" s="103">
        <v>0</v>
      </c>
      <c r="I21" s="129">
        <v>17227819</v>
      </c>
      <c r="J21" s="129">
        <v>861390.95</v>
      </c>
    </row>
    <row r="22" spans="1:10" ht="28.2" customHeight="1" thickTop="1" thickBot="1" x14ac:dyDescent="0.35">
      <c r="A22" s="127">
        <f t="shared" si="0"/>
        <v>19</v>
      </c>
      <c r="B22" s="103" t="s">
        <v>175</v>
      </c>
      <c r="C22" s="128" t="s">
        <v>115</v>
      </c>
      <c r="D22" s="103" t="s">
        <v>156</v>
      </c>
      <c r="E22" s="103" t="s">
        <v>157</v>
      </c>
      <c r="F22" s="103">
        <v>140</v>
      </c>
      <c r="G22" s="103">
        <v>0</v>
      </c>
      <c r="H22" s="103">
        <v>0</v>
      </c>
      <c r="I22" s="129">
        <v>11982382</v>
      </c>
      <c r="J22" s="104">
        <v>599119.1</v>
      </c>
    </row>
    <row r="23" spans="1:10" ht="28.2" customHeight="1" thickTop="1" thickBot="1" x14ac:dyDescent="0.35">
      <c r="A23" s="127">
        <f t="shared" si="0"/>
        <v>20</v>
      </c>
      <c r="B23" s="103" t="s">
        <v>176</v>
      </c>
      <c r="C23" s="128" t="s">
        <v>115</v>
      </c>
      <c r="D23" s="103" t="s">
        <v>29</v>
      </c>
      <c r="E23" s="103" t="s">
        <v>153</v>
      </c>
      <c r="F23" s="103">
        <v>186</v>
      </c>
      <c r="G23" s="103">
        <v>0</v>
      </c>
      <c r="H23" s="103">
        <v>0</v>
      </c>
      <c r="I23" s="129">
        <v>17313372</v>
      </c>
      <c r="J23" s="129">
        <v>865668.6</v>
      </c>
    </row>
    <row r="24" spans="1:10" ht="28.2" customHeight="1" thickTop="1" thickBot="1" x14ac:dyDescent="0.35">
      <c r="A24" s="127">
        <f t="shared" si="0"/>
        <v>21</v>
      </c>
      <c r="B24" s="103" t="s">
        <v>177</v>
      </c>
      <c r="C24" s="128" t="s">
        <v>115</v>
      </c>
      <c r="D24" s="103" t="s">
        <v>29</v>
      </c>
      <c r="E24" s="103" t="s">
        <v>153</v>
      </c>
      <c r="F24" s="103">
        <v>198</v>
      </c>
      <c r="G24" s="103">
        <v>0</v>
      </c>
      <c r="H24" s="103">
        <v>0</v>
      </c>
      <c r="I24" s="129">
        <v>17769704</v>
      </c>
      <c r="J24" s="129">
        <v>888485.2</v>
      </c>
    </row>
    <row r="25" spans="1:10" ht="28.2" customHeight="1" thickTop="1" thickBot="1" x14ac:dyDescent="0.35">
      <c r="A25" s="14">
        <f>ROW()-3</f>
        <v>22</v>
      </c>
      <c r="B25" s="103" t="s">
        <v>178</v>
      </c>
      <c r="C25" s="128" t="s">
        <v>115</v>
      </c>
      <c r="D25" s="103" t="s">
        <v>30</v>
      </c>
      <c r="E25" s="103" t="s">
        <v>153</v>
      </c>
      <c r="F25" s="103">
        <v>198</v>
      </c>
      <c r="G25" s="103">
        <v>0</v>
      </c>
      <c r="H25" s="103">
        <v>0</v>
      </c>
      <c r="I25" s="146">
        <v>17860776</v>
      </c>
      <c r="J25" s="147">
        <v>893038.8</v>
      </c>
    </row>
    <row r="26" spans="1:10" ht="28.2" customHeight="1" thickTop="1" thickBot="1" x14ac:dyDescent="0.35">
      <c r="A26" s="127">
        <f t="shared" si="0"/>
        <v>23</v>
      </c>
      <c r="B26" s="103" t="s">
        <v>196</v>
      </c>
      <c r="C26" s="128" t="s">
        <v>115</v>
      </c>
      <c r="D26" s="103" t="s">
        <v>31</v>
      </c>
      <c r="E26" s="103" t="s">
        <v>153</v>
      </c>
      <c r="F26" s="103">
        <v>186</v>
      </c>
      <c r="G26" s="103">
        <v>0</v>
      </c>
      <c r="H26" s="103">
        <v>0</v>
      </c>
      <c r="I26" s="129">
        <v>17484477</v>
      </c>
      <c r="J26" s="129">
        <v>874223.85</v>
      </c>
    </row>
    <row r="27" spans="1:10" ht="28.2" customHeight="1" thickTop="1" thickBot="1" x14ac:dyDescent="0.35">
      <c r="A27" s="127">
        <f t="shared" si="0"/>
        <v>24</v>
      </c>
      <c r="B27" s="103" t="s">
        <v>179</v>
      </c>
      <c r="C27" s="128" t="s">
        <v>115</v>
      </c>
      <c r="D27" s="103" t="s">
        <v>31</v>
      </c>
      <c r="E27" s="103" t="s">
        <v>153</v>
      </c>
      <c r="F27" s="103">
        <v>198</v>
      </c>
      <c r="G27" s="103">
        <v>0</v>
      </c>
      <c r="H27" s="103">
        <v>0</v>
      </c>
      <c r="I27" s="129">
        <v>17951848</v>
      </c>
      <c r="J27" s="129">
        <v>897592.4</v>
      </c>
    </row>
    <row r="28" spans="1:10" ht="28.2" customHeight="1" thickTop="1" thickBot="1" x14ac:dyDescent="0.35">
      <c r="A28" s="127">
        <f t="shared" si="0"/>
        <v>25</v>
      </c>
      <c r="B28" s="103" t="s">
        <v>180</v>
      </c>
      <c r="C28" s="128" t="s">
        <v>115</v>
      </c>
      <c r="D28" s="103" t="s">
        <v>165</v>
      </c>
      <c r="E28" s="103" t="s">
        <v>153</v>
      </c>
      <c r="F28" s="103">
        <v>186</v>
      </c>
      <c r="G28" s="103">
        <v>0</v>
      </c>
      <c r="H28" s="103">
        <v>0</v>
      </c>
      <c r="I28" s="129">
        <v>17527254</v>
      </c>
      <c r="J28" s="129">
        <v>876362.7</v>
      </c>
    </row>
    <row r="29" spans="1:10" ht="28.2" customHeight="1" thickTop="1" thickBot="1" x14ac:dyDescent="0.35">
      <c r="A29" s="127">
        <f>ROW()-3</f>
        <v>26</v>
      </c>
      <c r="B29" s="103" t="s">
        <v>181</v>
      </c>
      <c r="C29" s="128" t="s">
        <v>115</v>
      </c>
      <c r="D29" s="103" t="s">
        <v>165</v>
      </c>
      <c r="E29" s="103" t="s">
        <v>153</v>
      </c>
      <c r="F29" s="103">
        <v>198</v>
      </c>
      <c r="G29" s="103">
        <v>0</v>
      </c>
      <c r="H29" s="103">
        <v>0</v>
      </c>
      <c r="I29" s="129">
        <v>17997384</v>
      </c>
      <c r="J29" s="129">
        <v>899869.2</v>
      </c>
    </row>
    <row r="30" spans="1:10" ht="28.2" customHeight="1" thickTop="1" thickBot="1" x14ac:dyDescent="0.35">
      <c r="A30" s="127">
        <f t="shared" si="0"/>
        <v>27</v>
      </c>
      <c r="B30" s="103" t="s">
        <v>182</v>
      </c>
      <c r="C30" s="128" t="s">
        <v>115</v>
      </c>
      <c r="D30" s="103" t="s">
        <v>165</v>
      </c>
      <c r="E30" s="103" t="s">
        <v>157</v>
      </c>
      <c r="F30" s="103">
        <v>130</v>
      </c>
      <c r="G30" s="103">
        <v>0</v>
      </c>
      <c r="H30" s="103">
        <v>0</v>
      </c>
      <c r="I30" s="129">
        <v>11188552</v>
      </c>
      <c r="J30" s="129">
        <v>559427.6</v>
      </c>
    </row>
    <row r="31" spans="1:10" ht="15" customHeight="1" thickTop="1" x14ac:dyDescent="0.3"/>
    <row r="32" spans="1:10" ht="15" customHeight="1" x14ac:dyDescent="0.3">
      <c r="F32" s="65"/>
      <c r="G32" s="1"/>
      <c r="H32" s="1"/>
    </row>
    <row r="33" spans="2:9" ht="15" customHeight="1" x14ac:dyDescent="0.25">
      <c r="B33" s="138"/>
      <c r="C33" s="87"/>
      <c r="D33" s="86"/>
      <c r="E33" s="86"/>
      <c r="F33" s="86"/>
      <c r="G33" s="86"/>
      <c r="H33" s="87"/>
      <c r="I33" s="88"/>
    </row>
    <row r="34" spans="2:9" ht="15" customHeight="1" x14ac:dyDescent="0.3">
      <c r="B34" s="119"/>
      <c r="C34" s="90"/>
      <c r="D34" s="89"/>
      <c r="E34" s="89"/>
      <c r="F34" s="89"/>
      <c r="G34" s="89"/>
      <c r="H34" s="90"/>
      <c r="I34" s="91"/>
    </row>
    <row r="35" spans="2:9" ht="15" customHeight="1" x14ac:dyDescent="0.3">
      <c r="B35" s="119"/>
      <c r="C35" s="90"/>
      <c r="D35" s="89"/>
      <c r="E35" s="89"/>
      <c r="F35" s="89"/>
      <c r="G35" s="89"/>
      <c r="H35" s="90"/>
      <c r="I35" s="91"/>
    </row>
    <row r="36" spans="2:9" ht="15" customHeight="1" x14ac:dyDescent="0.3">
      <c r="B36" s="119"/>
      <c r="C36" s="90"/>
      <c r="D36" s="89"/>
      <c r="E36" s="89"/>
      <c r="F36" s="89"/>
      <c r="G36" s="89"/>
      <c r="H36" s="90"/>
      <c r="I36" s="91"/>
    </row>
    <row r="37" spans="2:9" ht="15" customHeight="1" x14ac:dyDescent="0.3">
      <c r="B37" s="119"/>
      <c r="C37" s="87"/>
      <c r="D37" s="86"/>
      <c r="E37" s="86"/>
      <c r="F37" s="86"/>
      <c r="G37" s="86"/>
      <c r="H37" s="87"/>
      <c r="I37" s="88"/>
    </row>
    <row r="38" spans="2:9" ht="15" customHeight="1" x14ac:dyDescent="0.3">
      <c r="B38" s="119"/>
      <c r="C38" s="87"/>
      <c r="D38" s="86"/>
      <c r="E38" s="86"/>
      <c r="F38" s="86"/>
      <c r="G38" s="86"/>
      <c r="H38" s="87"/>
      <c r="I38" s="88"/>
    </row>
    <row r="39" spans="2:9" ht="15" customHeight="1" x14ac:dyDescent="0.3">
      <c r="B39" s="119"/>
      <c r="C39" s="87"/>
      <c r="D39" s="86"/>
      <c r="E39" s="86"/>
      <c r="F39" s="86"/>
      <c r="G39" s="86"/>
      <c r="H39" s="87"/>
      <c r="I39" s="88"/>
    </row>
    <row r="40" spans="2:9" ht="15" customHeight="1" x14ac:dyDescent="0.3">
      <c r="B40" s="119"/>
      <c r="C40" s="87"/>
      <c r="D40" s="86"/>
      <c r="E40" s="86"/>
      <c r="F40" s="86"/>
      <c r="G40" s="86"/>
      <c r="H40" s="87"/>
      <c r="I40" s="88"/>
    </row>
    <row r="41" spans="2:9" ht="15" customHeight="1" x14ac:dyDescent="0.3">
      <c r="B41" s="119"/>
      <c r="C41" s="87"/>
      <c r="D41" s="86"/>
      <c r="E41" s="86"/>
      <c r="F41" s="86"/>
      <c r="G41" s="86"/>
      <c r="H41" s="87"/>
      <c r="I41" s="88"/>
    </row>
    <row r="42" spans="2:9" ht="15" customHeight="1" x14ac:dyDescent="0.3">
      <c r="B42" s="119"/>
      <c r="C42" s="87"/>
      <c r="D42" s="86"/>
      <c r="E42" s="86"/>
      <c r="F42" s="86"/>
      <c r="G42" s="86"/>
      <c r="H42" s="87"/>
      <c r="I42" s="88"/>
    </row>
    <row r="43" spans="2:9" ht="15" customHeight="1" x14ac:dyDescent="0.3">
      <c r="B43" s="119"/>
      <c r="C43" s="87"/>
      <c r="D43" s="86"/>
      <c r="E43" s="86"/>
      <c r="F43" s="86"/>
      <c r="G43" s="86"/>
      <c r="H43" s="87"/>
      <c r="I43" s="88"/>
    </row>
    <row r="44" spans="2:9" ht="15" customHeight="1" x14ac:dyDescent="0.3">
      <c r="B44" s="119"/>
      <c r="C44" s="87"/>
      <c r="D44" s="86"/>
      <c r="E44" s="86"/>
      <c r="F44" s="86"/>
      <c r="G44" s="86"/>
      <c r="H44" s="87"/>
      <c r="I44" s="88"/>
    </row>
    <row r="45" spans="2:9" ht="15" customHeight="1" x14ac:dyDescent="0.3">
      <c r="B45" s="119"/>
      <c r="C45" s="87"/>
      <c r="D45" s="86"/>
      <c r="E45" s="86"/>
      <c r="F45" s="86"/>
      <c r="G45" s="86"/>
      <c r="H45" s="87"/>
      <c r="I45" s="88"/>
    </row>
    <row r="46" spans="2:9" ht="15" customHeight="1" x14ac:dyDescent="0.3">
      <c r="B46" s="119"/>
      <c r="C46" s="87"/>
      <c r="D46" s="86"/>
      <c r="E46" s="86"/>
      <c r="F46" s="86"/>
      <c r="G46" s="86"/>
      <c r="H46" s="87"/>
      <c r="I46" s="88"/>
    </row>
    <row r="47" spans="2:9" ht="15" customHeight="1" x14ac:dyDescent="0.3">
      <c r="B47" s="119"/>
      <c r="C47" s="87"/>
      <c r="D47" s="86"/>
      <c r="E47" s="86"/>
      <c r="F47" s="86"/>
      <c r="G47" s="86"/>
      <c r="H47" s="87"/>
      <c r="I47" s="88"/>
    </row>
    <row r="48" spans="2:9" ht="15" customHeight="1" x14ac:dyDescent="0.3">
      <c r="B48" s="119"/>
      <c r="C48" s="87"/>
      <c r="D48" s="86"/>
      <c r="E48" s="86"/>
      <c r="F48" s="86"/>
      <c r="G48" s="86"/>
      <c r="H48" s="87"/>
      <c r="I48" s="88"/>
    </row>
    <row r="49" spans="2:9" ht="15" customHeight="1" x14ac:dyDescent="0.3">
      <c r="B49" s="119"/>
      <c r="C49" s="87"/>
      <c r="D49" s="86"/>
      <c r="E49" s="86"/>
      <c r="F49" s="86"/>
      <c r="G49" s="86"/>
      <c r="H49" s="87"/>
      <c r="I49" s="88"/>
    </row>
    <row r="50" spans="2:9" ht="15" customHeight="1" x14ac:dyDescent="0.3">
      <c r="B50" s="119"/>
      <c r="C50" s="87"/>
      <c r="D50" s="86"/>
      <c r="E50" s="86"/>
      <c r="F50" s="86"/>
      <c r="G50" s="86"/>
      <c r="H50" s="87"/>
      <c r="I50" s="88"/>
    </row>
    <row r="51" spans="2:9" ht="15" customHeight="1" x14ac:dyDescent="0.3">
      <c r="B51" s="119"/>
      <c r="C51" s="87"/>
      <c r="D51" s="86"/>
      <c r="E51" s="86"/>
      <c r="F51" s="86"/>
      <c r="G51" s="86"/>
      <c r="H51" s="87"/>
      <c r="I51" s="88"/>
    </row>
    <row r="52" spans="2:9" ht="15" customHeight="1" x14ac:dyDescent="0.3">
      <c r="B52" s="119"/>
      <c r="C52" s="87"/>
      <c r="D52" s="86"/>
      <c r="E52" s="86"/>
      <c r="F52" s="86"/>
      <c r="G52" s="86"/>
      <c r="H52" s="87"/>
      <c r="I52" s="88"/>
    </row>
    <row r="53" spans="2:9" ht="15" customHeight="1" x14ac:dyDescent="0.3">
      <c r="B53" s="119"/>
      <c r="C53" s="87"/>
      <c r="D53" s="86"/>
      <c r="E53" s="86"/>
      <c r="F53" s="86"/>
      <c r="G53" s="86"/>
      <c r="H53" s="87"/>
      <c r="I53" s="88"/>
    </row>
    <row r="54" spans="2:9" ht="15" customHeight="1" x14ac:dyDescent="0.3">
      <c r="B54" s="119"/>
      <c r="C54" s="87"/>
      <c r="D54" s="86"/>
      <c r="E54" s="86"/>
      <c r="F54" s="86"/>
      <c r="G54" s="86"/>
      <c r="H54" s="87"/>
      <c r="I54" s="88"/>
    </row>
    <row r="55" spans="2:9" ht="15" customHeight="1" x14ac:dyDescent="0.3">
      <c r="B55" s="119"/>
      <c r="C55" s="87"/>
      <c r="D55" s="86"/>
      <c r="E55" s="86"/>
      <c r="F55" s="86"/>
      <c r="G55" s="86"/>
      <c r="H55" s="87"/>
      <c r="I55" s="88"/>
    </row>
    <row r="56" spans="2:9" ht="15" customHeight="1" x14ac:dyDescent="0.3">
      <c r="B56" s="119"/>
      <c r="C56" s="8"/>
      <c r="D56" s="8"/>
      <c r="E56" s="92"/>
      <c r="F56" s="8"/>
      <c r="G56" s="65"/>
      <c r="H56" s="65"/>
    </row>
    <row r="57" spans="2:9" ht="15" customHeight="1" x14ac:dyDescent="0.3">
      <c r="B57" s="119"/>
      <c r="C57" s="8"/>
      <c r="D57" s="8"/>
      <c r="E57" s="92"/>
      <c r="F57" s="8"/>
      <c r="G57" s="65"/>
      <c r="H57" s="65"/>
    </row>
    <row r="58" spans="2:9" ht="15" customHeight="1" x14ac:dyDescent="0.3">
      <c r="B58" s="119"/>
      <c r="C58" s="8"/>
      <c r="D58" s="8"/>
      <c r="E58" s="92"/>
      <c r="F58" s="8"/>
    </row>
    <row r="59" spans="2:9" ht="15" customHeight="1" x14ac:dyDescent="0.3">
      <c r="B59" s="119"/>
      <c r="C59" s="8"/>
      <c r="D59" s="8"/>
      <c r="E59" s="92"/>
      <c r="F59" s="8"/>
    </row>
    <row r="60" spans="2:9" ht="15" customHeight="1" x14ac:dyDescent="0.3">
      <c r="B60" s="119"/>
      <c r="C60" s="8"/>
      <c r="D60" s="8"/>
      <c r="E60" s="8"/>
      <c r="F60" s="8"/>
    </row>
    <row r="61" spans="2:9" ht="15" customHeight="1" x14ac:dyDescent="0.3">
      <c r="B61" s="119"/>
    </row>
    <row r="62" spans="2:9" ht="15" customHeight="1" x14ac:dyDescent="0.3">
      <c r="B62" s="119"/>
    </row>
    <row r="63" spans="2:9" ht="15" customHeight="1" x14ac:dyDescent="0.3">
      <c r="B63" s="119"/>
    </row>
    <row r="64" spans="2:9" ht="15" customHeight="1" x14ac:dyDescent="0.3">
      <c r="B64" s="119"/>
    </row>
    <row r="65" spans="2:2" ht="15" customHeight="1" x14ac:dyDescent="0.3">
      <c r="B65" s="119"/>
    </row>
    <row r="66" spans="2:2" ht="15" customHeight="1" x14ac:dyDescent="0.3">
      <c r="B66" s="119"/>
    </row>
    <row r="67" spans="2:2" ht="15" customHeight="1" x14ac:dyDescent="0.3">
      <c r="B67" s="119"/>
    </row>
    <row r="68" spans="2:2" ht="15" customHeight="1" x14ac:dyDescent="0.3">
      <c r="B68" s="119"/>
    </row>
    <row r="69" spans="2:2" ht="15" customHeight="1" x14ac:dyDescent="0.3">
      <c r="B69" s="119"/>
    </row>
    <row r="70" spans="2:2" ht="15" customHeight="1" x14ac:dyDescent="0.3">
      <c r="B70" s="119"/>
    </row>
    <row r="71" spans="2:2" ht="15" customHeight="1" x14ac:dyDescent="0.3">
      <c r="B71" s="119"/>
    </row>
    <row r="72" spans="2:2" ht="15" customHeight="1" x14ac:dyDescent="0.3">
      <c r="B72" s="119"/>
    </row>
    <row r="73" spans="2:2" ht="15" customHeight="1" x14ac:dyDescent="0.3">
      <c r="B73" s="119"/>
    </row>
    <row r="74" spans="2:2" ht="15" customHeight="1" x14ac:dyDescent="0.3">
      <c r="B74" s="119"/>
    </row>
    <row r="75" spans="2:2" ht="15" customHeight="1" x14ac:dyDescent="0.3">
      <c r="B75" s="119"/>
    </row>
    <row r="76" spans="2:2" ht="15" customHeight="1" x14ac:dyDescent="0.3">
      <c r="B76" s="119"/>
    </row>
  </sheetData>
  <mergeCells count="2">
    <mergeCell ref="A2:J2"/>
    <mergeCell ref="A1:J1"/>
  </mergeCells>
  <phoneticPr fontId="20" type="noConversion"/>
  <conditionalFormatting sqref="A4:A30">
    <cfRule type="duplicateValues" dxfId="17" priority="5657"/>
  </conditionalFormatting>
  <conditionalFormatting sqref="B1:B1048576">
    <cfRule type="duplicateValues" dxfId="16" priority="1"/>
  </conditionalFormatting>
  <conditionalFormatting sqref="B31:B1048576 B1:B3">
    <cfRule type="duplicateValues" dxfId="15" priority="2"/>
  </conditionalFormatting>
  <conditionalFormatting sqref="B64:B1048576 B1:B3 B31:B32">
    <cfRule type="duplicateValues" dxfId="14" priority="3"/>
    <cfRule type="duplicateValues" dxfId="13" priority="4"/>
  </conditionalFormatting>
  <conditionalFormatting sqref="B69:B1048576 B1:B3 B31:B32">
    <cfRule type="duplicateValues" dxfId="12" priority="6"/>
  </conditionalFormatting>
  <conditionalFormatting sqref="B69:B1048576">
    <cfRule type="duplicateValues" dxfId="11" priority="5"/>
  </conditionalFormatting>
  <conditionalFormatting sqref="B71:B1048576 B1:B3 B31:B32">
    <cfRule type="duplicateValues" dxfId="10" priority="7"/>
    <cfRule type="duplicateValues" dxfId="9" priority="8"/>
  </conditionalFormatting>
  <conditionalFormatting sqref="B73:B1048576 B1:B3 B31:B32">
    <cfRule type="duplicateValues" dxfId="8" priority="9"/>
  </conditionalFormatting>
  <conditionalFormatting sqref="B77:B1048576 B3 B31:B32">
    <cfRule type="duplicateValues" dxfId="7" priority="4455"/>
  </conditionalFormatting>
  <conditionalFormatting sqref="B77:B1048576 B31:B32 B3">
    <cfRule type="duplicateValues" dxfId="6" priority="4459"/>
  </conditionalFormatting>
  <conditionalFormatting sqref="B77:B1048576 B31:B32">
    <cfRule type="duplicateValues" dxfId="5" priority="4463"/>
  </conditionalFormatting>
  <conditionalFormatting sqref="B77:B1048576 B32">
    <cfRule type="duplicateValues" dxfId="4" priority="4173"/>
  </conditionalFormatting>
  <conditionalFormatting sqref="B77:B1048576">
    <cfRule type="duplicateValues" dxfId="3" priority="4171"/>
    <cfRule type="duplicateValues" dxfId="2" priority="4452"/>
  </conditionalFormatting>
  <conditionalFormatting sqref="B31">
    <cfRule type="duplicateValues" dxfId="1" priority="8742"/>
  </conditionalFormatting>
  <pageMargins left="0.25" right="0.25" top="0.49803149600000002" bottom="0.24803149599999999" header="0.31496063000000002" footer="0"/>
  <pageSetup scale="66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7712-FC3D-4989-A90D-C6A18E835D5C}">
  <dimension ref="A1:H5"/>
  <sheetViews>
    <sheetView view="pageBreakPreview" zoomScale="112" zoomScaleNormal="98" workbookViewId="0">
      <selection activeCell="A5" sqref="A5:XFD5"/>
    </sheetView>
  </sheetViews>
  <sheetFormatPr defaultColWidth="17.44140625" defaultRowHeight="18.75" customHeight="1" x14ac:dyDescent="0.3"/>
  <cols>
    <col min="1" max="1" width="7" customWidth="1"/>
    <col min="3" max="3" width="13.21875" customWidth="1"/>
    <col min="4" max="4" width="14.77734375" customWidth="1"/>
    <col min="5" max="5" width="14" customWidth="1"/>
    <col min="7" max="7" width="17.33203125" customWidth="1"/>
    <col min="8" max="8" width="10" customWidth="1"/>
  </cols>
  <sheetData>
    <row r="1" spans="1:8" ht="30" customHeight="1" thickTop="1" thickBot="1" x14ac:dyDescent="0.35">
      <c r="A1" s="301" t="s">
        <v>74</v>
      </c>
      <c r="B1" s="301"/>
      <c r="C1" s="301"/>
      <c r="D1" s="301"/>
      <c r="E1" s="301"/>
      <c r="F1" s="302"/>
      <c r="G1" s="302"/>
      <c r="H1" s="66"/>
    </row>
    <row r="2" spans="1:8" ht="11.25" customHeight="1" thickTop="1" thickBot="1" x14ac:dyDescent="0.35">
      <c r="A2" s="67"/>
      <c r="B2" s="67"/>
      <c r="C2" s="67"/>
      <c r="D2" s="67"/>
      <c r="E2" s="67"/>
      <c r="F2" s="134"/>
      <c r="G2" s="74"/>
      <c r="H2" s="66"/>
    </row>
    <row r="3" spans="1:8" ht="18.75" customHeight="1" thickTop="1" thickBot="1" x14ac:dyDescent="0.35">
      <c r="A3" s="45" t="s">
        <v>5</v>
      </c>
      <c r="B3" s="45" t="s">
        <v>6</v>
      </c>
      <c r="C3" s="45" t="s">
        <v>0</v>
      </c>
      <c r="D3" s="45" t="s">
        <v>3</v>
      </c>
      <c r="E3" s="45" t="s">
        <v>1</v>
      </c>
      <c r="F3" s="75" t="s">
        <v>39</v>
      </c>
      <c r="G3" s="135" t="s">
        <v>183</v>
      </c>
      <c r="H3" s="66"/>
    </row>
    <row r="4" spans="1:8" ht="18.75" customHeight="1" thickTop="1" thickBot="1" x14ac:dyDescent="0.35">
      <c r="A4" s="29">
        <v>1</v>
      </c>
      <c r="B4" s="29" t="s">
        <v>63</v>
      </c>
      <c r="C4" s="41">
        <v>792</v>
      </c>
      <c r="D4" s="41">
        <v>290</v>
      </c>
      <c r="E4" s="41">
        <v>0</v>
      </c>
      <c r="F4" s="223">
        <v>27255000</v>
      </c>
      <c r="G4" s="42">
        <v>13627500</v>
      </c>
      <c r="H4" s="224" t="s">
        <v>443</v>
      </c>
    </row>
    <row r="5" spans="1:8" ht="18.75" customHeight="1" thickTop="1" x14ac:dyDescent="0.3"/>
  </sheetData>
  <mergeCells count="1">
    <mergeCell ref="A1:G1"/>
  </mergeCells>
  <conditionalFormatting sqref="A4">
    <cfRule type="duplicateValues" dxfId="0" priority="8743"/>
  </conditionalFormatting>
  <printOptions horizontalCentered="1"/>
  <pageMargins left="0" right="0" top="0.83" bottom="0" header="0" footer="0"/>
  <pageSetup scale="90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F065B-23A9-49E1-8642-E46FAE00CD13}">
  <dimension ref="A1:F6"/>
  <sheetViews>
    <sheetView view="pageBreakPreview" zoomScale="125" zoomScaleNormal="98" workbookViewId="0">
      <selection activeCell="A5" sqref="A5:XFD5"/>
    </sheetView>
  </sheetViews>
  <sheetFormatPr defaultColWidth="17.44140625" defaultRowHeight="18.75" customHeight="1" x14ac:dyDescent="0.3"/>
  <cols>
    <col min="1" max="1" width="7" customWidth="1"/>
    <col min="3" max="3" width="13.21875" customWidth="1"/>
    <col min="4" max="4" width="14.77734375" customWidth="1"/>
    <col min="5" max="5" width="20.33203125" customWidth="1"/>
  </cols>
  <sheetData>
    <row r="1" spans="1:6" ht="30" customHeight="1" thickBot="1" x14ac:dyDescent="0.35">
      <c r="A1" s="303" t="s">
        <v>476</v>
      </c>
      <c r="B1" s="304"/>
      <c r="C1" s="304"/>
      <c r="D1" s="304"/>
      <c r="E1" s="304"/>
      <c r="F1" s="305"/>
    </row>
    <row r="2" spans="1:6" ht="11.25" customHeight="1" thickBot="1" x14ac:dyDescent="0.35">
      <c r="A2" s="232"/>
      <c r="B2" s="232"/>
      <c r="C2" s="232"/>
      <c r="D2" s="232"/>
      <c r="E2" s="232"/>
      <c r="F2" s="232"/>
    </row>
    <row r="3" spans="1:6" ht="18.75" customHeight="1" thickBot="1" x14ac:dyDescent="0.35">
      <c r="A3" s="233" t="s">
        <v>5</v>
      </c>
      <c r="B3" s="234" t="s">
        <v>6</v>
      </c>
      <c r="C3" s="234" t="s">
        <v>0</v>
      </c>
      <c r="D3" s="234" t="s">
        <v>3</v>
      </c>
      <c r="E3" s="234" t="s">
        <v>39</v>
      </c>
      <c r="F3" s="234" t="s">
        <v>477</v>
      </c>
    </row>
    <row r="4" spans="1:6" ht="18.75" customHeight="1" thickBot="1" x14ac:dyDescent="0.35">
      <c r="A4" s="235">
        <v>1</v>
      </c>
      <c r="B4" s="238" t="s">
        <v>478</v>
      </c>
      <c r="C4" s="236">
        <v>955.04</v>
      </c>
      <c r="D4" s="236">
        <v>433.54</v>
      </c>
      <c r="E4" s="237">
        <v>56000000</v>
      </c>
      <c r="F4" s="237">
        <v>8400000</v>
      </c>
    </row>
    <row r="6" spans="1:6" ht="18.75" customHeight="1" x14ac:dyDescent="0.3">
      <c r="E6" s="215"/>
    </row>
  </sheetData>
  <mergeCells count="1">
    <mergeCell ref="A1:F1"/>
  </mergeCells>
  <printOptions horizontalCentered="1"/>
  <pageMargins left="0" right="0" top="0.83" bottom="0" header="0" footer="0"/>
  <pageSetup scale="110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3D2FB-206E-41C5-BD88-79FC523C5DDB}">
  <sheetPr>
    <pageSetUpPr fitToPage="1"/>
  </sheetPr>
  <dimension ref="A1:P8"/>
  <sheetViews>
    <sheetView workbookViewId="0">
      <selection activeCell="E13" sqref="E13"/>
    </sheetView>
  </sheetViews>
  <sheetFormatPr defaultColWidth="9.109375" defaultRowHeight="14.4" x14ac:dyDescent="0.3"/>
  <cols>
    <col min="1" max="1" width="6.5546875" style="1" bestFit="1" customWidth="1"/>
    <col min="2" max="2" width="14.44140625" style="1" bestFit="1" customWidth="1"/>
    <col min="3" max="3" width="10.109375" style="1" bestFit="1" customWidth="1"/>
    <col min="4" max="4" width="20.5546875" style="1" bestFit="1" customWidth="1"/>
    <col min="5" max="5" width="16.6640625" style="1" bestFit="1" customWidth="1"/>
    <col min="6" max="6" width="14.5546875" style="1" bestFit="1" customWidth="1"/>
    <col min="7" max="7" width="14.88671875" style="1" bestFit="1" customWidth="1"/>
    <col min="8" max="16384" width="9.109375" style="1"/>
  </cols>
  <sheetData>
    <row r="1" spans="1:16" ht="31.5" customHeight="1" thickTop="1" thickBot="1" x14ac:dyDescent="0.35">
      <c r="A1" s="306" t="s">
        <v>36</v>
      </c>
      <c r="B1" s="306"/>
      <c r="C1" s="306"/>
      <c r="D1" s="306"/>
      <c r="E1" s="306"/>
      <c r="F1" s="306"/>
      <c r="G1" s="306"/>
    </row>
    <row r="2" spans="1:16" s="8" customFormat="1" ht="18.75" customHeight="1" thickTop="1" x14ac:dyDescent="0.3">
      <c r="A2" s="20"/>
      <c r="B2" s="20"/>
      <c r="C2" s="20"/>
      <c r="D2" s="20"/>
      <c r="E2" s="20"/>
      <c r="F2" s="20"/>
      <c r="G2" s="20"/>
      <c r="H2" s="1"/>
      <c r="I2" s="1"/>
      <c r="J2" s="1"/>
      <c r="K2" s="1"/>
      <c r="L2" s="1"/>
      <c r="M2" s="1"/>
      <c r="N2" s="1"/>
      <c r="O2" s="1"/>
      <c r="P2" s="1"/>
    </row>
    <row r="3" spans="1:16" s="8" customFormat="1" ht="5.25" customHeight="1" thickBot="1" x14ac:dyDescent="0.35">
      <c r="A3" s="9"/>
      <c r="B3" s="9"/>
      <c r="C3" s="9"/>
      <c r="D3" s="9"/>
      <c r="E3" s="9"/>
      <c r="F3" s="9"/>
      <c r="G3" s="9"/>
      <c r="H3" s="1"/>
      <c r="I3" s="1"/>
      <c r="J3" s="1"/>
      <c r="K3" s="1"/>
      <c r="L3" s="1"/>
      <c r="M3" s="1"/>
      <c r="N3" s="1"/>
      <c r="O3" s="1"/>
      <c r="P3" s="1"/>
    </row>
    <row r="4" spans="1:16" ht="28.5" customHeight="1" thickTop="1" thickBot="1" x14ac:dyDescent="0.35">
      <c r="A4" s="40" t="s">
        <v>5</v>
      </c>
      <c r="B4" s="40" t="s">
        <v>6</v>
      </c>
      <c r="C4" s="40" t="s">
        <v>17</v>
      </c>
      <c r="D4" s="40" t="s">
        <v>37</v>
      </c>
      <c r="E4" s="40" t="s">
        <v>4</v>
      </c>
      <c r="F4" s="40" t="s">
        <v>38</v>
      </c>
      <c r="G4" s="40" t="s">
        <v>39</v>
      </c>
    </row>
    <row r="5" spans="1:16" ht="19.5" customHeight="1" thickTop="1" thickBot="1" x14ac:dyDescent="0.35">
      <c r="A5" s="10">
        <v>1</v>
      </c>
      <c r="B5" s="10" t="s">
        <v>40</v>
      </c>
      <c r="C5" s="10" t="s">
        <v>29</v>
      </c>
      <c r="D5" s="10">
        <v>3</v>
      </c>
      <c r="E5" s="10" t="s">
        <v>2</v>
      </c>
      <c r="F5" s="10">
        <v>146</v>
      </c>
      <c r="G5" s="11">
        <v>12250000</v>
      </c>
    </row>
    <row r="6" spans="1:16" ht="15.6" thickTop="1" thickBot="1" x14ac:dyDescent="0.35">
      <c r="A6" s="10"/>
      <c r="B6" s="10">
        <v>1</v>
      </c>
      <c r="C6" s="10"/>
      <c r="D6" s="10"/>
      <c r="E6" s="10"/>
      <c r="F6" s="10"/>
      <c r="G6" s="11">
        <f>SUBTOTAL(109,Table11[Total Price])</f>
        <v>12250000</v>
      </c>
    </row>
    <row r="7" spans="1:16" ht="15" thickTop="1" x14ac:dyDescent="0.3"/>
    <row r="8" spans="1:16" x14ac:dyDescent="0.3">
      <c r="K8" s="8"/>
    </row>
  </sheetData>
  <mergeCells count="1">
    <mergeCell ref="A1:G1"/>
  </mergeCells>
  <pageMargins left="0.7" right="0.7" top="0.75" bottom="0.75" header="0.3" footer="0.3"/>
  <pageSetup scale="92" fitToHeight="0"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A014-173C-4F19-9922-D7313835BC74}">
  <dimension ref="A1:F10"/>
  <sheetViews>
    <sheetView zoomScaleNormal="100" zoomScaleSheetLayoutView="117" workbookViewId="0">
      <selection activeCell="E13" sqref="E13"/>
    </sheetView>
  </sheetViews>
  <sheetFormatPr defaultColWidth="9.109375" defaultRowHeight="16.5" customHeight="1" x14ac:dyDescent="0.3"/>
  <cols>
    <col min="1" max="1" width="8.6640625" style="1" bestFit="1" customWidth="1"/>
    <col min="2" max="2" width="13.88671875" style="1" bestFit="1" customWidth="1"/>
    <col min="3" max="3" width="15.5546875" style="1" bestFit="1" customWidth="1"/>
    <col min="4" max="4" width="17.33203125" style="1" bestFit="1" customWidth="1"/>
    <col min="5" max="5" width="14.33203125" style="1" bestFit="1" customWidth="1"/>
    <col min="6" max="6" width="19.33203125" style="1" bestFit="1" customWidth="1"/>
    <col min="7" max="16384" width="9.109375" style="1"/>
  </cols>
  <sheetData>
    <row r="1" spans="1:6" ht="26.4" customHeight="1" thickTop="1" thickBot="1" x14ac:dyDescent="0.35">
      <c r="A1" s="263" t="s">
        <v>28</v>
      </c>
      <c r="B1" s="263"/>
      <c r="C1" s="263"/>
      <c r="D1" s="263"/>
      <c r="E1" s="263"/>
      <c r="F1" s="263"/>
    </row>
    <row r="2" spans="1:6" ht="6" customHeight="1" thickTop="1" x14ac:dyDescent="0.3">
      <c r="A2" s="20"/>
      <c r="B2" s="20"/>
      <c r="C2" s="20"/>
      <c r="D2" s="20"/>
      <c r="E2" s="20"/>
      <c r="F2" s="20"/>
    </row>
    <row r="3" spans="1:6" ht="5.4" customHeight="1" x14ac:dyDescent="0.3">
      <c r="A3" s="20"/>
      <c r="B3" s="20"/>
      <c r="C3" s="20"/>
      <c r="D3" s="20"/>
      <c r="E3" s="20"/>
      <c r="F3" s="20"/>
    </row>
    <row r="4" spans="1:6" ht="20.399999999999999" customHeight="1" thickBot="1" x14ac:dyDescent="0.35">
      <c r="A4" s="36" t="s">
        <v>5</v>
      </c>
      <c r="B4" s="37" t="s">
        <v>6</v>
      </c>
      <c r="C4" s="37" t="s">
        <v>0</v>
      </c>
      <c r="D4" s="37" t="s">
        <v>3</v>
      </c>
      <c r="E4" s="37" t="s">
        <v>1</v>
      </c>
      <c r="F4" s="38" t="s">
        <v>39</v>
      </c>
    </row>
    <row r="5" spans="1:6" ht="20.399999999999999" customHeight="1" thickTop="1" thickBot="1" x14ac:dyDescent="0.35">
      <c r="A5" s="22">
        <v>1</v>
      </c>
      <c r="B5" s="12" t="s">
        <v>33</v>
      </c>
      <c r="C5" s="26" t="s">
        <v>60</v>
      </c>
      <c r="D5" s="12">
        <v>104</v>
      </c>
      <c r="E5" s="26">
        <v>80</v>
      </c>
      <c r="F5" s="23">
        <v>4680000</v>
      </c>
    </row>
    <row r="6" spans="1:6" ht="20.399999999999999" customHeight="1" thickTop="1" thickBot="1" x14ac:dyDescent="0.35">
      <c r="A6" s="27">
        <v>2</v>
      </c>
      <c r="B6" s="13" t="s">
        <v>61</v>
      </c>
      <c r="C6" s="28">
        <v>155</v>
      </c>
      <c r="D6" s="29">
        <v>168</v>
      </c>
      <c r="E6" s="28" t="s">
        <v>62</v>
      </c>
      <c r="F6" s="30">
        <v>9111274</v>
      </c>
    </row>
    <row r="7" spans="1:6" ht="20.399999999999999" customHeight="1" thickTop="1" thickBot="1" x14ac:dyDescent="0.35">
      <c r="A7" s="22">
        <v>3</v>
      </c>
      <c r="B7" s="12" t="s">
        <v>34</v>
      </c>
      <c r="C7" s="26">
        <v>459</v>
      </c>
      <c r="D7" s="12">
        <v>260</v>
      </c>
      <c r="E7" s="26" t="s">
        <v>62</v>
      </c>
      <c r="F7" s="23">
        <v>13660922</v>
      </c>
    </row>
    <row r="8" spans="1:6" ht="20.399999999999999" customHeight="1" thickTop="1" thickBot="1" x14ac:dyDescent="0.35">
      <c r="A8" s="27">
        <v>4</v>
      </c>
      <c r="B8" s="13" t="s">
        <v>35</v>
      </c>
      <c r="C8" s="28">
        <v>455</v>
      </c>
      <c r="D8" s="29">
        <v>260</v>
      </c>
      <c r="E8" s="28" t="s">
        <v>62</v>
      </c>
      <c r="F8" s="30">
        <v>14300000</v>
      </c>
    </row>
    <row r="9" spans="1:6" ht="20.399999999999999" customHeight="1" thickTop="1" thickBot="1" x14ac:dyDescent="0.35">
      <c r="A9" s="21">
        <v>5</v>
      </c>
      <c r="B9" s="12" t="s">
        <v>63</v>
      </c>
      <c r="C9" s="26">
        <v>792</v>
      </c>
      <c r="D9" s="31">
        <v>290</v>
      </c>
      <c r="E9" s="26" t="s">
        <v>62</v>
      </c>
      <c r="F9" s="30">
        <v>23700000</v>
      </c>
    </row>
    <row r="10" spans="1:6" ht="16.5" customHeight="1" thickTop="1" x14ac:dyDescent="0.3">
      <c r="A10" s="24"/>
      <c r="B10" s="25">
        <f>SUBTOTAL(103,Table8[Unit Code])</f>
        <v>5</v>
      </c>
      <c r="C10" s="32"/>
      <c r="D10" s="17"/>
      <c r="E10" s="33"/>
      <c r="F10" s="19">
        <f>SUBTOTAL(109,Table8[Total Price])</f>
        <v>65452196</v>
      </c>
    </row>
  </sheetData>
  <mergeCells count="1">
    <mergeCell ref="A1:F1"/>
  </mergeCells>
  <pageMargins left="0.7" right="0.7" top="0.75" bottom="0.75" header="0.3" footer="0.3"/>
  <pageSetup orientation="portrait" r:id="rId1"/>
  <headerFooter>
    <oddHeader>&amp;R&amp;D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20</vt:i4>
      </vt:variant>
    </vt:vector>
  </HeadingPairs>
  <TitlesOfParts>
    <vt:vector size="46" baseType="lpstr">
      <vt:lpstr>Park Central</vt:lpstr>
      <vt:lpstr>SLNX</vt:lpstr>
      <vt:lpstr>SLN</vt:lpstr>
      <vt:lpstr>SEASONS</vt:lpstr>
      <vt:lpstr>The Giselle</vt:lpstr>
      <vt:lpstr>The Scarlet</vt:lpstr>
      <vt:lpstr>The Iris</vt:lpstr>
      <vt:lpstr>The Valleys</vt:lpstr>
      <vt:lpstr>SLG - ENCORE</vt:lpstr>
      <vt:lpstr>The Phoenix</vt:lpstr>
      <vt:lpstr>OFFICE PARK</vt:lpstr>
      <vt:lpstr>SLW-Boomerang</vt:lpstr>
      <vt:lpstr>SLW-Villas</vt:lpstr>
      <vt:lpstr>SLW-Monos</vt:lpstr>
      <vt:lpstr>SLW-Solos</vt:lpstr>
      <vt:lpstr>SLW-Twains</vt:lpstr>
      <vt:lpstr>SLW-Shimmers</vt:lpstr>
      <vt:lpstr>The Selina</vt:lpstr>
      <vt:lpstr>KEYS-52</vt:lpstr>
      <vt:lpstr>The AMAIA</vt:lpstr>
      <vt:lpstr>PARKVIEW</vt:lpstr>
      <vt:lpstr>Park 226</vt:lpstr>
      <vt:lpstr>LVG</vt:lpstr>
      <vt:lpstr>SLO</vt:lpstr>
      <vt:lpstr>SLG</vt:lpstr>
      <vt:lpstr>Little Venice</vt:lpstr>
      <vt:lpstr>'KEYS-52'!Print_Area</vt:lpstr>
      <vt:lpstr>LVG!Print_Area</vt:lpstr>
      <vt:lpstr>'OFFICE PARK'!Print_Area</vt:lpstr>
      <vt:lpstr>'Park 226'!Print_Area</vt:lpstr>
      <vt:lpstr>'Park Central'!Print_Area</vt:lpstr>
      <vt:lpstr>PARKVIEW!Print_Area</vt:lpstr>
      <vt:lpstr>SLG!Print_Area</vt:lpstr>
      <vt:lpstr>'SLG - ENCORE'!Print_Area</vt:lpstr>
      <vt:lpstr>SLN!Print_Area</vt:lpstr>
      <vt:lpstr>SLNX!Print_Area</vt:lpstr>
      <vt:lpstr>SLO!Print_Area</vt:lpstr>
      <vt:lpstr>'SLW-Shimmers'!Print_Area</vt:lpstr>
      <vt:lpstr>'SLW-Solos'!Print_Area</vt:lpstr>
      <vt:lpstr>'SLW-Twains'!Print_Area</vt:lpstr>
      <vt:lpstr>'SLW-Villas'!Print_Area</vt:lpstr>
      <vt:lpstr>'The AMAIA'!Print_Area</vt:lpstr>
      <vt:lpstr>'The Phoenix'!Print_Area</vt:lpstr>
      <vt:lpstr>'The Selina'!Print_Area</vt:lpstr>
      <vt:lpstr>'The Valleys'!Print_Area</vt:lpstr>
      <vt:lpstr>'Park 226'!Print_Titles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Assem</dc:creator>
  <cp:lastModifiedBy>Omar Mohsen</cp:lastModifiedBy>
  <cp:lastPrinted>2025-11-23T22:07:47Z</cp:lastPrinted>
  <dcterms:created xsi:type="dcterms:W3CDTF">2015-06-05T18:17:20Z</dcterms:created>
  <dcterms:modified xsi:type="dcterms:W3CDTF">2025-11-23T22:23:36Z</dcterms:modified>
</cp:coreProperties>
</file>